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FEA50A1-DEAC-4448-B96F-6A8796B724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empleInicial" sheetId="6" r:id="rId1"/>
    <sheet name="Dim_Met" sheetId="7" r:id="rId2"/>
    <sheet name="ModelEstrella_PKFK" sheetId="4" r:id="rId3"/>
    <sheet name="Relacions" sheetId="9" r:id="rId4"/>
    <sheet name="Granularitat dades" sheetId="8" r:id="rId5"/>
    <sheet name="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9" l="1"/>
  <c r="L3" i="9"/>
  <c r="L2" i="9"/>
</calcChain>
</file>

<file path=xl/sharedStrings.xml><?xml version="1.0" encoding="utf-8"?>
<sst xmlns="http://schemas.openxmlformats.org/spreadsheetml/2006/main" count="428" uniqueCount="58">
  <si>
    <t>Barcelona</t>
  </si>
  <si>
    <t>TB1</t>
  </si>
  <si>
    <t>TB2</t>
  </si>
  <si>
    <t>Madrid</t>
  </si>
  <si>
    <t>TM1</t>
  </si>
  <si>
    <t>TM2</t>
  </si>
  <si>
    <t>Sevilla</t>
  </si>
  <si>
    <t>TS1</t>
  </si>
  <si>
    <t>AGRUPACIÓN</t>
  </si>
  <si>
    <t>Botiga</t>
  </si>
  <si>
    <t>Ciutat</t>
  </si>
  <si>
    <t>DIMENSIÓ</t>
  </si>
  <si>
    <t>MÈTRICA</t>
  </si>
  <si>
    <t>Vendes</t>
  </si>
  <si>
    <t>PK</t>
  </si>
  <si>
    <t>FK</t>
  </si>
  <si>
    <t>GRANULARITAT DADES</t>
  </si>
  <si>
    <t>Granularitat a nivell de ciutat i botiga</t>
  </si>
  <si>
    <t>Granularitat a nivell de ciutat</t>
  </si>
  <si>
    <t>Data</t>
  </si>
  <si>
    <t>Mes</t>
  </si>
  <si>
    <t>Any</t>
  </si>
  <si>
    <t>Novembre</t>
  </si>
  <si>
    <t>Desembre</t>
  </si>
  <si>
    <t>Nom Atleta</t>
  </si>
  <si>
    <t>Altura</t>
  </si>
  <si>
    <t>Pes</t>
  </si>
  <si>
    <t>Exercici</t>
  </si>
  <si>
    <t>Marc</t>
  </si>
  <si>
    <t>Sara</t>
  </si>
  <si>
    <t>Alex</t>
  </si>
  <si>
    <t>Marta</t>
  </si>
  <si>
    <t>Tipologia</t>
  </si>
  <si>
    <t>Força</t>
  </si>
  <si>
    <t>Biceps</t>
  </si>
  <si>
    <t>Esquena</t>
  </si>
  <si>
    <t>Cames</t>
  </si>
  <si>
    <t>Aerobic</t>
  </si>
  <si>
    <t>Burpees</t>
  </si>
  <si>
    <t>Repeticions</t>
  </si>
  <si>
    <t>Pes (kg)</t>
  </si>
  <si>
    <t>Lloc</t>
  </si>
  <si>
    <t>Gym</t>
  </si>
  <si>
    <t>BCN</t>
  </si>
  <si>
    <t>MAD</t>
  </si>
  <si>
    <t>VAL</t>
  </si>
  <si>
    <t>DIR</t>
  </si>
  <si>
    <t>NumAbonats</t>
  </si>
  <si>
    <t>VivaGym</t>
  </si>
  <si>
    <t>Fitness</t>
  </si>
  <si>
    <t>Mestre atletes</t>
  </si>
  <si>
    <t>Mestre dates</t>
  </si>
  <si>
    <t>Mestre exercicis</t>
  </si>
  <si>
    <t>Objectiu</t>
  </si>
  <si>
    <t>Més força</t>
  </si>
  <si>
    <t>Més cardio</t>
  </si>
  <si>
    <t>De estrella</t>
  </si>
  <si>
    <t>A floquet de 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</si>
</sst>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0" fillId="6" borderId="1" xfId="0" applyFill="1" applyBorder="1"/>
    <xf numFmtId="9" fontId="0" fillId="0" borderId="0" xfId="1" applyFont="1"/>
    <xf numFmtId="20" fontId="0" fillId="0" borderId="0" xfId="0" applyNumberFormat="1"/>
    <xf numFmtId="0" fontId="0" fillId="0" borderId="1" xfId="0" applyFill="1" applyBorder="1"/>
    <xf numFmtId="14" fontId="0" fillId="7" borderId="1" xfId="0" applyNumberFormat="1" applyFill="1" applyBorder="1"/>
    <xf numFmtId="1" fontId="0" fillId="7" borderId="1" xfId="0" applyNumberFormat="1" applyFill="1" applyBorder="1"/>
    <xf numFmtId="14" fontId="0" fillId="8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svg"/><Relationship Id="rId2" Type="http://schemas.openxmlformats.org/officeDocument/2006/relationships/image" Target="../media/image4.sv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svg"/><Relationship Id="rId4" Type="http://schemas.openxmlformats.org/officeDocument/2006/relationships/image" Target="../media/image6.svg"/><Relationship Id="rId9" Type="http://schemas.openxmlformats.org/officeDocument/2006/relationships/image" Target="../media/image11.png"/><Relationship Id="rId14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264531</xdr:colOff>
      <xdr:row>33</xdr:row>
      <xdr:rowOff>101812</xdr:rowOff>
    </xdr:from>
    <xdr:to>
      <xdr:col>27</xdr:col>
      <xdr:colOff>702681</xdr:colOff>
      <xdr:row>53</xdr:row>
      <xdr:rowOff>162655</xdr:rowOff>
    </xdr:to>
    <xdr:sp macro="" textlink="">
      <xdr:nvSpPr>
        <xdr:cNvPr id="3" name="Flecha: a la derecha 20">
          <a:extLst>
            <a:ext uri="{FF2B5EF4-FFF2-40B4-BE49-F238E27FC236}">
              <a16:creationId xmlns:a16="http://schemas.microsoft.com/office/drawing/2014/main" id="{F25847D6-2776-4BD3-975A-C3EC358028CF}"/>
            </a:ext>
          </a:extLst>
        </xdr:cNvPr>
        <xdr:cNvSpPr/>
      </xdr:nvSpPr>
      <xdr:spPr>
        <a:xfrm rot="8097669">
          <a:off x="16600860" y="8104659"/>
          <a:ext cx="3870843" cy="438150"/>
        </a:xfrm>
        <a:prstGeom prst="right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11</xdr:row>
      <xdr:rowOff>133350</xdr:rowOff>
    </xdr:from>
    <xdr:to>
      <xdr:col>5</xdr:col>
      <xdr:colOff>342900</xdr:colOff>
      <xdr:row>14</xdr:row>
      <xdr:rowOff>0</xdr:rowOff>
    </xdr:to>
    <xdr:sp macro="" textlink="">
      <xdr:nvSpPr>
        <xdr:cNvPr id="21" name="Flecha: a la derecha 20">
          <a:extLst>
            <a:ext uri="{FF2B5EF4-FFF2-40B4-BE49-F238E27FC236}">
              <a16:creationId xmlns:a16="http://schemas.microsoft.com/office/drawing/2014/main" id="{FFE5E604-EC36-43D7-87AE-606D7C8D7DBE}"/>
            </a:ext>
          </a:extLst>
        </xdr:cNvPr>
        <xdr:cNvSpPr/>
      </xdr:nvSpPr>
      <xdr:spPr>
        <a:xfrm>
          <a:off x="6153150" y="14801850"/>
          <a:ext cx="790575" cy="438150"/>
        </a:xfrm>
        <a:prstGeom prst="right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190500</xdr:colOff>
      <xdr:row>10</xdr:row>
      <xdr:rowOff>123825</xdr:rowOff>
    </xdr:from>
    <xdr:to>
      <xdr:col>8</xdr:col>
      <xdr:colOff>266700</xdr:colOff>
      <xdr:row>13</xdr:row>
      <xdr:rowOff>180975</xdr:rowOff>
    </xdr:to>
    <xdr:sp macro="" textlink="">
      <xdr:nvSpPr>
        <xdr:cNvPr id="22" name="Cerrar llave 21">
          <a:extLst>
            <a:ext uri="{FF2B5EF4-FFF2-40B4-BE49-F238E27FC236}">
              <a16:creationId xmlns:a16="http://schemas.microsoft.com/office/drawing/2014/main" id="{3C364EB0-EA3E-43DA-ABFC-2DA6F8596C4C}"/>
            </a:ext>
          </a:extLst>
        </xdr:cNvPr>
        <xdr:cNvSpPr/>
      </xdr:nvSpPr>
      <xdr:spPr>
        <a:xfrm>
          <a:off x="9077325" y="14601825"/>
          <a:ext cx="76200" cy="628650"/>
        </a:xfrm>
        <a:prstGeom prst="rightBrac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209550</xdr:colOff>
      <xdr:row>16</xdr:row>
      <xdr:rowOff>152400</xdr:rowOff>
    </xdr:from>
    <xdr:to>
      <xdr:col>8</xdr:col>
      <xdr:colOff>285750</xdr:colOff>
      <xdr:row>20</xdr:row>
      <xdr:rowOff>19050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BB543C09-4E1E-4EA0-B27B-F244AC0B4425}"/>
            </a:ext>
          </a:extLst>
        </xdr:cNvPr>
        <xdr:cNvSpPr/>
      </xdr:nvSpPr>
      <xdr:spPr>
        <a:xfrm>
          <a:off x="9096375" y="15773400"/>
          <a:ext cx="76200" cy="628650"/>
        </a:xfrm>
        <a:prstGeom prst="rightBrac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8</xdr:col>
      <xdr:colOff>352425</xdr:colOff>
      <xdr:row>11</xdr:row>
      <xdr:rowOff>114300</xdr:rowOff>
    </xdr:from>
    <xdr:ext cx="460639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29F6E203-EF11-4857-B144-932A8D343A92}"/>
            </a:ext>
          </a:extLst>
        </xdr:cNvPr>
        <xdr:cNvSpPr txBox="1"/>
      </xdr:nvSpPr>
      <xdr:spPr>
        <a:xfrm>
          <a:off x="9239250" y="14782800"/>
          <a:ext cx="4606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SUM</a:t>
          </a:r>
        </a:p>
      </xdr:txBody>
    </xdr:sp>
    <xdr:clientData/>
  </xdr:oneCellAnchor>
  <xdr:oneCellAnchor>
    <xdr:from>
      <xdr:col>8</xdr:col>
      <xdr:colOff>381000</xdr:colOff>
      <xdr:row>17</xdr:row>
      <xdr:rowOff>133350</xdr:rowOff>
    </xdr:from>
    <xdr:ext cx="460126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A0CB5A12-7885-4523-995E-7862A4D44ECE}"/>
            </a:ext>
          </a:extLst>
        </xdr:cNvPr>
        <xdr:cNvSpPr txBox="1"/>
      </xdr:nvSpPr>
      <xdr:spPr>
        <a:xfrm>
          <a:off x="9267825" y="15944850"/>
          <a:ext cx="4601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MAX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504824</xdr:colOff>
      <xdr:row>1</xdr:row>
      <xdr:rowOff>179387</xdr:rowOff>
    </xdr:from>
    <xdr:to>
      <xdr:col>3</xdr:col>
      <xdr:colOff>2448975</xdr:colOff>
      <xdr:row>31</xdr:row>
      <xdr:rowOff>55562</xdr:rowOff>
    </xdr:to>
    <xdr:pic>
      <xdr:nvPicPr>
        <xdr:cNvPr id="2" name="Imagen 1" descr="Business Intelligence: Modelo Estrella y Modelo Copo de Nieve">
          <a:extLst>
            <a:ext uri="{FF2B5EF4-FFF2-40B4-BE49-F238E27FC236}">
              <a16:creationId xmlns:a16="http://schemas.microsoft.com/office/drawing/2014/main" id="{240E67A5-3291-439C-AECD-4B1A21B5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637" y="369887"/>
          <a:ext cx="8008401" cy="559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3591582</xdr:colOff>
      <xdr:row>6</xdr:row>
      <xdr:rowOff>161925</xdr:rowOff>
    </xdr:from>
    <xdr:to>
      <xdr:col>14</xdr:col>
      <xdr:colOff>333375</xdr:colOff>
      <xdr:row>30</xdr:row>
      <xdr:rowOff>127000</xdr:rowOff>
    </xdr:to>
    <xdr:pic>
      <xdr:nvPicPr>
        <xdr:cNvPr id="3" name="Imagen 2" descr="El modelo de estrella. El pilar fundamental del Business Intelligence -  Data Management">
          <a:extLst>
            <a:ext uri="{FF2B5EF4-FFF2-40B4-BE49-F238E27FC236}">
              <a16:creationId xmlns:a16="http://schemas.microsoft.com/office/drawing/2014/main" id="{91127DFD-B35A-4ABF-8575-00469D65E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3645" y="6829425"/>
          <a:ext cx="7997168" cy="453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3208465</xdr:colOff>
      <xdr:row>15</xdr:row>
      <xdr:rowOff>9668</xdr:rowOff>
    </xdr:from>
    <xdr:to>
      <xdr:col>2</xdr:col>
      <xdr:colOff>3482851</xdr:colOff>
      <xdr:row>16</xdr:row>
      <xdr:rowOff>53833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8564A33-8AB7-06D1-898F-0EE0FDDF7843}"/>
            </a:ext>
          </a:extLst>
        </xdr:cNvPr>
        <xdr:cNvSpPr/>
      </xdr:nvSpPr>
      <xdr:spPr>
        <a:xfrm>
          <a:off x="5542090" y="2867168"/>
          <a:ext cx="274386" cy="234665"/>
        </a:xfrm>
        <a:prstGeom prst="ellipse">
          <a:avLst/>
        </a:prstGeom>
        <a:noFill/>
        <a:ln w="38100">
          <a:solidFill>
            <a:srgbClr val="FF0000">
              <a:alpha val="32157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3138615</xdr:colOff>
      <xdr:row>16</xdr:row>
      <xdr:rowOff>3318</xdr:rowOff>
    </xdr:from>
    <xdr:to>
      <xdr:col>2</xdr:col>
      <xdr:colOff>3413001</xdr:colOff>
      <xdr:row>17</xdr:row>
      <xdr:rowOff>47483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E25C66FB-0D53-42AE-AFF4-619BDDFBA90C}"/>
            </a:ext>
          </a:extLst>
        </xdr:cNvPr>
        <xdr:cNvSpPr/>
      </xdr:nvSpPr>
      <xdr:spPr>
        <a:xfrm>
          <a:off x="5472240" y="3051318"/>
          <a:ext cx="274386" cy="234665"/>
        </a:xfrm>
        <a:prstGeom prst="ellipse">
          <a:avLst/>
        </a:prstGeom>
        <a:noFill/>
        <a:ln w="38100">
          <a:solidFill>
            <a:srgbClr val="FF0000">
              <a:alpha val="32157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3322765</xdr:colOff>
      <xdr:row>16</xdr:row>
      <xdr:rowOff>187468</xdr:rowOff>
    </xdr:from>
    <xdr:to>
      <xdr:col>2</xdr:col>
      <xdr:colOff>3597151</xdr:colOff>
      <xdr:row>18</xdr:row>
      <xdr:rowOff>41133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68DD3B3E-768F-457D-A2F9-E19034A74687}"/>
            </a:ext>
          </a:extLst>
        </xdr:cNvPr>
        <xdr:cNvSpPr/>
      </xdr:nvSpPr>
      <xdr:spPr>
        <a:xfrm>
          <a:off x="5656390" y="3235468"/>
          <a:ext cx="274386" cy="234665"/>
        </a:xfrm>
        <a:prstGeom prst="ellipse">
          <a:avLst/>
        </a:prstGeom>
        <a:noFill/>
        <a:ln w="38100">
          <a:solidFill>
            <a:srgbClr val="FF0000">
              <a:alpha val="32157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3030665</xdr:colOff>
      <xdr:row>17</xdr:row>
      <xdr:rowOff>181118</xdr:rowOff>
    </xdr:from>
    <xdr:to>
      <xdr:col>2</xdr:col>
      <xdr:colOff>3305051</xdr:colOff>
      <xdr:row>19</xdr:row>
      <xdr:rowOff>34783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315690F3-D7C5-4AAF-A443-53B31E805136}"/>
            </a:ext>
          </a:extLst>
        </xdr:cNvPr>
        <xdr:cNvSpPr/>
      </xdr:nvSpPr>
      <xdr:spPr>
        <a:xfrm>
          <a:off x="5364290" y="3419618"/>
          <a:ext cx="274386" cy="234665"/>
        </a:xfrm>
        <a:prstGeom prst="ellipse">
          <a:avLst/>
        </a:prstGeom>
        <a:noFill/>
        <a:ln w="38100">
          <a:solidFill>
            <a:srgbClr val="FF0000">
              <a:alpha val="32157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3064003</xdr:colOff>
      <xdr:row>18</xdr:row>
      <xdr:rowOff>182705</xdr:rowOff>
    </xdr:from>
    <xdr:to>
      <xdr:col>2</xdr:col>
      <xdr:colOff>3338389</xdr:colOff>
      <xdr:row>20</xdr:row>
      <xdr:rowOff>36370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9DAEC716-F388-47EF-96BF-F305BE6CB299}"/>
            </a:ext>
          </a:extLst>
        </xdr:cNvPr>
        <xdr:cNvSpPr/>
      </xdr:nvSpPr>
      <xdr:spPr>
        <a:xfrm>
          <a:off x="5397628" y="3611705"/>
          <a:ext cx="274386" cy="234665"/>
        </a:xfrm>
        <a:prstGeom prst="ellipse">
          <a:avLst/>
        </a:prstGeom>
        <a:noFill/>
        <a:ln w="38100">
          <a:solidFill>
            <a:srgbClr val="FF0000">
              <a:alpha val="32157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225553</xdr:colOff>
      <xdr:row>10</xdr:row>
      <xdr:rowOff>138256</xdr:rowOff>
    </xdr:from>
    <xdr:to>
      <xdr:col>3</xdr:col>
      <xdr:colOff>499939</xdr:colOff>
      <xdr:row>11</xdr:row>
      <xdr:rowOff>182421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254D23F-14AD-41E1-96FC-5EC727A82B87}"/>
            </a:ext>
          </a:extLst>
        </xdr:cNvPr>
        <xdr:cNvSpPr/>
      </xdr:nvSpPr>
      <xdr:spPr>
        <a:xfrm>
          <a:off x="6567616" y="2043256"/>
          <a:ext cx="274386" cy="234665"/>
        </a:xfrm>
        <a:prstGeom prst="ellipse">
          <a:avLst/>
        </a:prstGeom>
        <a:noFill/>
        <a:ln w="38100">
          <a:solidFill>
            <a:srgbClr val="FFC000">
              <a:alpha val="58824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1378078</xdr:colOff>
      <xdr:row>3</xdr:row>
      <xdr:rowOff>36656</xdr:rowOff>
    </xdr:from>
    <xdr:to>
      <xdr:col>2</xdr:col>
      <xdr:colOff>1652464</xdr:colOff>
      <xdr:row>4</xdr:row>
      <xdr:rowOff>80821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41C3409A-6113-4A7C-B5DA-0AB4350BE51F}"/>
            </a:ext>
          </a:extLst>
        </xdr:cNvPr>
        <xdr:cNvSpPr/>
      </xdr:nvSpPr>
      <xdr:spPr>
        <a:xfrm>
          <a:off x="3711703" y="608156"/>
          <a:ext cx="274386" cy="234665"/>
        </a:xfrm>
        <a:prstGeom prst="ellipse">
          <a:avLst/>
        </a:prstGeom>
        <a:noFill/>
        <a:ln w="38100">
          <a:solidFill>
            <a:srgbClr val="FFC000">
              <a:alpha val="58824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530353</xdr:colOff>
      <xdr:row>11</xdr:row>
      <xdr:rowOff>62056</xdr:rowOff>
    </xdr:from>
    <xdr:to>
      <xdr:col>1</xdr:col>
      <xdr:colOff>804739</xdr:colOff>
      <xdr:row>12</xdr:row>
      <xdr:rowOff>106221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E646291C-0FB9-470E-8C5D-47BED3C3824C}"/>
            </a:ext>
          </a:extLst>
        </xdr:cNvPr>
        <xdr:cNvSpPr/>
      </xdr:nvSpPr>
      <xdr:spPr>
        <a:xfrm>
          <a:off x="808166" y="2157556"/>
          <a:ext cx="274386" cy="234665"/>
        </a:xfrm>
        <a:prstGeom prst="ellipse">
          <a:avLst/>
        </a:prstGeom>
        <a:noFill/>
        <a:ln w="38100">
          <a:solidFill>
            <a:srgbClr val="FFC000">
              <a:alpha val="58824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55691</xdr:colOff>
      <xdr:row>24</xdr:row>
      <xdr:rowOff>143019</xdr:rowOff>
    </xdr:from>
    <xdr:to>
      <xdr:col>2</xdr:col>
      <xdr:colOff>330077</xdr:colOff>
      <xdr:row>25</xdr:row>
      <xdr:rowOff>187184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3C85D363-42BA-4904-8D64-A200FCAD6D14}"/>
            </a:ext>
          </a:extLst>
        </xdr:cNvPr>
        <xdr:cNvSpPr/>
      </xdr:nvSpPr>
      <xdr:spPr>
        <a:xfrm>
          <a:off x="2389316" y="4715019"/>
          <a:ext cx="274386" cy="234665"/>
        </a:xfrm>
        <a:prstGeom prst="ellipse">
          <a:avLst/>
        </a:prstGeom>
        <a:noFill/>
        <a:ln w="38100">
          <a:solidFill>
            <a:srgbClr val="FFC000">
              <a:alpha val="58824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2795716</xdr:colOff>
      <xdr:row>24</xdr:row>
      <xdr:rowOff>184294</xdr:rowOff>
    </xdr:from>
    <xdr:to>
      <xdr:col>2</xdr:col>
      <xdr:colOff>3070102</xdr:colOff>
      <xdr:row>26</xdr:row>
      <xdr:rowOff>37959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1ECB27D-91CC-4672-A72C-49C9E1DEB5D6}"/>
            </a:ext>
          </a:extLst>
        </xdr:cNvPr>
        <xdr:cNvSpPr/>
      </xdr:nvSpPr>
      <xdr:spPr>
        <a:xfrm>
          <a:off x="5129341" y="4756294"/>
          <a:ext cx="274386" cy="234665"/>
        </a:xfrm>
        <a:prstGeom prst="ellipse">
          <a:avLst/>
        </a:prstGeom>
        <a:noFill/>
        <a:ln w="38100">
          <a:solidFill>
            <a:srgbClr val="FFC000">
              <a:alpha val="58824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3313240</xdr:colOff>
      <xdr:row>0</xdr:row>
      <xdr:rowOff>162069</xdr:rowOff>
    </xdr:from>
    <xdr:to>
      <xdr:col>3</xdr:col>
      <xdr:colOff>3587626</xdr:colOff>
      <xdr:row>2</xdr:row>
      <xdr:rowOff>15734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70FB9264-B4BB-4B60-AB9A-CFC6E56AD69B}"/>
            </a:ext>
          </a:extLst>
        </xdr:cNvPr>
        <xdr:cNvSpPr/>
      </xdr:nvSpPr>
      <xdr:spPr>
        <a:xfrm>
          <a:off x="9655303" y="162069"/>
          <a:ext cx="274386" cy="234665"/>
        </a:xfrm>
        <a:prstGeom prst="ellipse">
          <a:avLst/>
        </a:prstGeom>
        <a:noFill/>
        <a:ln w="38100">
          <a:solidFill>
            <a:srgbClr val="FFC000">
              <a:alpha val="58824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3324352</xdr:colOff>
      <xdr:row>2</xdr:row>
      <xdr:rowOff>165243</xdr:rowOff>
    </xdr:from>
    <xdr:to>
      <xdr:col>3</xdr:col>
      <xdr:colOff>3598738</xdr:colOff>
      <xdr:row>4</xdr:row>
      <xdr:rowOff>18908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14386F96-72CA-43F8-A108-FD21C7F02E4C}"/>
            </a:ext>
          </a:extLst>
        </xdr:cNvPr>
        <xdr:cNvSpPr/>
      </xdr:nvSpPr>
      <xdr:spPr>
        <a:xfrm>
          <a:off x="9666415" y="546243"/>
          <a:ext cx="274386" cy="234665"/>
        </a:xfrm>
        <a:prstGeom prst="ellipse">
          <a:avLst/>
        </a:prstGeom>
        <a:noFill/>
        <a:ln w="38100">
          <a:solidFill>
            <a:srgbClr val="FF0000">
              <a:alpha val="32157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754063</xdr:colOff>
      <xdr:row>29</xdr:row>
      <xdr:rowOff>66675</xdr:rowOff>
    </xdr:to>
    <xdr:pic>
      <xdr:nvPicPr>
        <xdr:cNvPr id="16" name="Imagen 15" descr="Business Intelligence: Modelo Estrella y Modelo Copo de Nieve">
          <a:extLst>
            <a:ext uri="{FF2B5EF4-FFF2-40B4-BE49-F238E27FC236}">
              <a16:creationId xmlns:a16="http://schemas.microsoft.com/office/drawing/2014/main" id="{927B9A40-62B2-4B4F-AFB7-CF1E1AE1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12063" cy="559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103188</xdr:colOff>
      <xdr:row>11</xdr:row>
      <xdr:rowOff>103188</xdr:rowOff>
    </xdr:from>
    <xdr:to>
      <xdr:col>7</xdr:col>
      <xdr:colOff>254000</xdr:colOff>
      <xdr:row>12</xdr:row>
      <xdr:rowOff>71438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AA524C54-C992-2D0B-84FB-2B51F34F11F2}"/>
            </a:ext>
          </a:extLst>
        </xdr:cNvPr>
        <xdr:cNvSpPr/>
      </xdr:nvSpPr>
      <xdr:spPr>
        <a:xfrm>
          <a:off x="5437188" y="2198688"/>
          <a:ext cx="150812" cy="1587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17463</xdr:colOff>
      <xdr:row>10</xdr:row>
      <xdr:rowOff>1588</xdr:rowOff>
    </xdr:from>
    <xdr:to>
      <xdr:col>5</xdr:col>
      <xdr:colOff>168275</xdr:colOff>
      <xdr:row>10</xdr:row>
      <xdr:rowOff>160338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B4887818-BABB-4CFB-8A97-CEC0148B37B5}"/>
            </a:ext>
          </a:extLst>
        </xdr:cNvPr>
        <xdr:cNvSpPr/>
      </xdr:nvSpPr>
      <xdr:spPr>
        <a:xfrm>
          <a:off x="3827463" y="1906588"/>
          <a:ext cx="150812" cy="1587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646113</xdr:colOff>
      <xdr:row>12</xdr:row>
      <xdr:rowOff>42863</xdr:rowOff>
    </xdr:from>
    <xdr:to>
      <xdr:col>3</xdr:col>
      <xdr:colOff>34925</xdr:colOff>
      <xdr:row>13</xdr:row>
      <xdr:rowOff>11113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D1A07EFD-E2F1-4F21-8CB2-80D86BC452D4}"/>
            </a:ext>
          </a:extLst>
        </xdr:cNvPr>
        <xdr:cNvSpPr/>
      </xdr:nvSpPr>
      <xdr:spPr>
        <a:xfrm>
          <a:off x="2170113" y="2328863"/>
          <a:ext cx="150812" cy="1587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385763</xdr:colOff>
      <xdr:row>21</xdr:row>
      <xdr:rowOff>68263</xdr:rowOff>
    </xdr:from>
    <xdr:to>
      <xdr:col>3</xdr:col>
      <xdr:colOff>536575</xdr:colOff>
      <xdr:row>22</xdr:row>
      <xdr:rowOff>36513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E16D0E4E-C5CD-4BE6-A557-42D60EB65CCE}"/>
            </a:ext>
          </a:extLst>
        </xdr:cNvPr>
        <xdr:cNvSpPr/>
      </xdr:nvSpPr>
      <xdr:spPr>
        <a:xfrm>
          <a:off x="2671763" y="4068763"/>
          <a:ext cx="150812" cy="1587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419101</xdr:colOff>
      <xdr:row>21</xdr:row>
      <xdr:rowOff>93663</xdr:rowOff>
    </xdr:from>
    <xdr:to>
      <xdr:col>6</xdr:col>
      <xdr:colOff>569913</xdr:colOff>
      <xdr:row>22</xdr:row>
      <xdr:rowOff>61913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7F560847-A64E-43A0-B96A-795AADDBE69B}"/>
            </a:ext>
          </a:extLst>
        </xdr:cNvPr>
        <xdr:cNvSpPr/>
      </xdr:nvSpPr>
      <xdr:spPr>
        <a:xfrm>
          <a:off x="4991101" y="4094163"/>
          <a:ext cx="150812" cy="1587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0</xdr:row>
      <xdr:rowOff>66675</xdr:rowOff>
    </xdr:from>
    <xdr:to>
      <xdr:col>15</xdr:col>
      <xdr:colOff>200025</xdr:colOff>
      <xdr:row>21</xdr:row>
      <xdr:rowOff>85725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459ED79-1F3F-4C0D-BDA3-9A1FF51C63CE}"/>
            </a:ext>
          </a:extLst>
        </xdr:cNvPr>
        <xdr:cNvGrpSpPr/>
      </xdr:nvGrpSpPr>
      <xdr:grpSpPr>
        <a:xfrm>
          <a:off x="885825" y="66675"/>
          <a:ext cx="13535025" cy="4019550"/>
          <a:chOff x="838199" y="457200"/>
          <a:chExt cx="13696950" cy="4019550"/>
        </a:xfrm>
      </xdr:grpSpPr>
      <xdr:pic>
        <xdr:nvPicPr>
          <xdr:cNvPr id="3" name="Gráfico 2" descr="Base de datos con relleno sólido">
            <a:extLst>
              <a:ext uri="{FF2B5EF4-FFF2-40B4-BE49-F238E27FC236}">
                <a16:creationId xmlns:a16="http://schemas.microsoft.com/office/drawing/2014/main" id="{9F57D53A-BA12-851C-385F-389D1F3A60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62025" y="1152525"/>
            <a:ext cx="914400" cy="914400"/>
          </a:xfrm>
          <a:prstGeom prst="rect">
            <a:avLst/>
          </a:prstGeom>
        </xdr:spPr>
      </xdr:pic>
      <xdr:pic>
        <xdr:nvPicPr>
          <xdr:cNvPr id="4" name="Gráfico 3" descr="Base de datos con relleno sólido">
            <a:extLst>
              <a:ext uri="{FF2B5EF4-FFF2-40B4-BE49-F238E27FC236}">
                <a16:creationId xmlns:a16="http://schemas.microsoft.com/office/drawing/2014/main" id="{5BFDEA79-FDAB-9616-83E1-A52BA8EE43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81075" y="2333625"/>
            <a:ext cx="914400" cy="914400"/>
          </a:xfrm>
          <a:prstGeom prst="rect">
            <a:avLst/>
          </a:prstGeom>
        </xdr:spPr>
      </xdr:pic>
      <xdr:pic>
        <xdr:nvPicPr>
          <xdr:cNvPr id="5" name="Gráfico 4" descr="Base de datos con relleno sólido">
            <a:extLst>
              <a:ext uri="{FF2B5EF4-FFF2-40B4-BE49-F238E27FC236}">
                <a16:creationId xmlns:a16="http://schemas.microsoft.com/office/drawing/2014/main" id="{D524C542-ED9C-A288-3F99-773F875E24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81075" y="3562350"/>
            <a:ext cx="914400" cy="914400"/>
          </a:xfrm>
          <a:prstGeom prst="rect">
            <a:avLst/>
          </a:prstGeom>
        </xdr:spPr>
      </xdr:pic>
      <xdr:pic>
        <xdr:nvPicPr>
          <xdr:cNvPr id="6" name="Gráfico 5" descr="Círculo con flecha a la izquierda con relleno sólido">
            <a:extLst>
              <a:ext uri="{FF2B5EF4-FFF2-40B4-BE49-F238E27FC236}">
                <a16:creationId xmlns:a16="http://schemas.microsoft.com/office/drawing/2014/main" id="{015D0231-46F5-B676-C8E1-656A900D5C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 rot="10800000">
            <a:off x="2647950" y="2457450"/>
            <a:ext cx="914400" cy="914400"/>
          </a:xfrm>
          <a:prstGeom prst="rect">
            <a:avLst/>
          </a:prstGeom>
        </xdr:spPr>
      </xdr:pic>
      <xdr:pic>
        <xdr:nvPicPr>
          <xdr:cNvPr id="7" name="Gráfico 6" descr="Filtro contorno">
            <a:extLst>
              <a:ext uri="{FF2B5EF4-FFF2-40B4-BE49-F238E27FC236}">
                <a16:creationId xmlns:a16="http://schemas.microsoft.com/office/drawing/2014/main" id="{CBFD65AB-7DF1-1A19-7054-E199FFBE13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4114800" y="2200275"/>
            <a:ext cx="914400" cy="914400"/>
          </a:xfrm>
          <a:prstGeom prst="rect">
            <a:avLst/>
          </a:prstGeom>
        </xdr:spPr>
      </xdr:pic>
      <xdr:pic>
        <xdr:nvPicPr>
          <xdr:cNvPr id="8" name="Gráfico 7" descr="Tabla con relleno sólido">
            <a:extLst>
              <a:ext uri="{FF2B5EF4-FFF2-40B4-BE49-F238E27FC236}">
                <a16:creationId xmlns:a16="http://schemas.microsoft.com/office/drawing/2014/main" id="{BB723EC4-D38C-0EF8-9F9C-A595702B7F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533900" y="2400300"/>
            <a:ext cx="914400" cy="914400"/>
          </a:xfrm>
          <a:prstGeom prst="rect">
            <a:avLst/>
          </a:prstGeom>
        </xdr:spPr>
      </xdr:pic>
      <xdr:pic>
        <xdr:nvPicPr>
          <xdr:cNvPr id="9" name="Gráfico 8" descr="Alternar contorno">
            <a:extLst>
              <a:ext uri="{FF2B5EF4-FFF2-40B4-BE49-F238E27FC236}">
                <a16:creationId xmlns:a16="http://schemas.microsoft.com/office/drawing/2014/main" id="{19339C8A-11B6-BEC8-4F2C-6C150C1C7A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191125" y="2971800"/>
            <a:ext cx="552450" cy="552450"/>
          </a:xfrm>
          <a:prstGeom prst="rect">
            <a:avLst/>
          </a:prstGeom>
        </xdr:spPr>
      </xdr:pic>
      <xdr:pic>
        <xdr:nvPicPr>
          <xdr:cNvPr id="10" name="Gráfico 9" descr="Calculadora contorno">
            <a:extLst>
              <a:ext uri="{FF2B5EF4-FFF2-40B4-BE49-F238E27FC236}">
                <a16:creationId xmlns:a16="http://schemas.microsoft.com/office/drawing/2014/main" id="{EB6C3476-77D9-E4CA-B54D-58ED9DB0B4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5179200" y="2181224"/>
            <a:ext cx="502425" cy="502425"/>
          </a:xfrm>
          <a:prstGeom prst="rect">
            <a:avLst/>
          </a:prstGeom>
        </xdr:spPr>
      </xdr:pic>
      <xdr:pic>
        <xdr:nvPicPr>
          <xdr:cNvPr id="11" name="Gráfico 10" descr="Círculo con flecha a la izquierda con relleno sólido">
            <a:extLst>
              <a:ext uri="{FF2B5EF4-FFF2-40B4-BE49-F238E27FC236}">
                <a16:creationId xmlns:a16="http://schemas.microsoft.com/office/drawing/2014/main" id="{E2C26CC6-18AA-3FA2-320D-058639938A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 rot="10800000">
            <a:off x="6619875" y="2428875"/>
            <a:ext cx="914400" cy="914400"/>
          </a:xfrm>
          <a:prstGeom prst="rect">
            <a:avLst/>
          </a:prstGeom>
        </xdr:spPr>
      </xdr:pic>
      <xdr:pic>
        <xdr:nvPicPr>
          <xdr:cNvPr id="12" name="Gráfico 11" descr="Base de datos con relleno sólido">
            <a:extLst>
              <a:ext uri="{FF2B5EF4-FFF2-40B4-BE49-F238E27FC236}">
                <a16:creationId xmlns:a16="http://schemas.microsoft.com/office/drawing/2014/main" id="{7920E822-8FBB-C65D-4C84-BB67CA5F16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201024" y="1476376"/>
            <a:ext cx="1923429" cy="2647950"/>
          </a:xfrm>
          <a:prstGeom prst="rect">
            <a:avLst/>
          </a:prstGeom>
        </xdr:spPr>
      </xdr:pic>
      <xdr:pic>
        <xdr:nvPicPr>
          <xdr:cNvPr id="13" name="Gráfico 12" descr="Círculo con flecha a la izquierda con relleno sólido">
            <a:extLst>
              <a:ext uri="{FF2B5EF4-FFF2-40B4-BE49-F238E27FC236}">
                <a16:creationId xmlns:a16="http://schemas.microsoft.com/office/drawing/2014/main" id="{981D4C6E-1F05-9D15-7146-A157F2F28A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 rot="10800000">
            <a:off x="10906125" y="2400300"/>
            <a:ext cx="914400" cy="914400"/>
          </a:xfrm>
          <a:prstGeom prst="rect">
            <a:avLst/>
          </a:prstGeom>
        </xdr:spPr>
      </xdr:pic>
      <xdr:pic>
        <xdr:nvPicPr>
          <xdr:cNvPr id="14" name="Gráfico 13" descr="Presentación con gráfico circular con relleno sólido">
            <a:extLst>
              <a:ext uri="{FF2B5EF4-FFF2-40B4-BE49-F238E27FC236}">
                <a16:creationId xmlns:a16="http://schemas.microsoft.com/office/drawing/2014/main" id="{68591CB0-FA37-40E2-52D1-06EFC6EE83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12830174" y="2019299"/>
            <a:ext cx="1704975" cy="1704975"/>
          </a:xfrm>
          <a:prstGeom prst="rect">
            <a:avLst/>
          </a:prstGeom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B2CE38C3-4D10-D328-1F95-9EB42E60B988}"/>
              </a:ext>
            </a:extLst>
          </xdr:cNvPr>
          <xdr:cNvSpPr txBox="1"/>
        </xdr:nvSpPr>
        <xdr:spPr>
          <a:xfrm>
            <a:off x="838199" y="457200"/>
            <a:ext cx="1209675" cy="676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2000"/>
              <a:t>Origen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1E13F79C-DB89-16D1-8637-6FA67F69193F}"/>
              </a:ext>
            </a:extLst>
          </xdr:cNvPr>
          <xdr:cNvSpPr txBox="1"/>
        </xdr:nvSpPr>
        <xdr:spPr>
          <a:xfrm>
            <a:off x="2124074" y="3105150"/>
            <a:ext cx="2028826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2000">
                <a:solidFill>
                  <a:schemeClr val="accent2"/>
                </a:solidFill>
              </a:rPr>
              <a:t>EXTRACCIÓ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901DEF15-B36B-BB51-50F2-FE7EF495FD7D}"/>
              </a:ext>
            </a:extLst>
          </xdr:cNvPr>
          <xdr:cNvSpPr txBox="1"/>
        </xdr:nvSpPr>
        <xdr:spPr>
          <a:xfrm>
            <a:off x="6067424" y="3114675"/>
            <a:ext cx="2028826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2000">
                <a:solidFill>
                  <a:schemeClr val="accent2"/>
                </a:solidFill>
              </a:rPr>
              <a:t>CÀRREGA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C69CAAD8-CA97-C74A-D6EC-07ED94ED027A}"/>
              </a:ext>
            </a:extLst>
          </xdr:cNvPr>
          <xdr:cNvSpPr txBox="1"/>
        </xdr:nvSpPr>
        <xdr:spPr>
          <a:xfrm>
            <a:off x="3886198" y="1476375"/>
            <a:ext cx="2388368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2000">
                <a:solidFill>
                  <a:schemeClr val="accent2"/>
                </a:solidFill>
              </a:rPr>
              <a:t>TRANSFORMACIÓ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B8FC8514-EAEA-1607-C9ED-BAB02A364BA3}"/>
              </a:ext>
            </a:extLst>
          </xdr:cNvPr>
          <xdr:cNvSpPr txBox="1"/>
        </xdr:nvSpPr>
        <xdr:spPr>
          <a:xfrm>
            <a:off x="8553449" y="914400"/>
            <a:ext cx="1209675" cy="6762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2000"/>
              <a:t>DW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ED64E19-47C8-FF51-9860-D8A7A8768F2F}"/>
              </a:ext>
            </a:extLst>
          </xdr:cNvPr>
          <xdr:cNvSpPr txBox="1"/>
        </xdr:nvSpPr>
        <xdr:spPr>
          <a:xfrm>
            <a:off x="12782549" y="1304925"/>
            <a:ext cx="1724026" cy="8667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2000"/>
              <a:t>HERAMIENTA BI</a:t>
            </a:r>
          </a:p>
        </xdr:txBody>
      </xdr:sp>
    </xdr:grpSp>
    <xdr:clientData/>
  </xdr:twoCellAnchor>
  <xdr:twoCellAnchor>
    <xdr:from>
      <xdr:col>1</xdr:col>
      <xdr:colOff>971550</xdr:colOff>
      <xdr:row>26</xdr:row>
      <xdr:rowOff>171450</xdr:rowOff>
    </xdr:from>
    <xdr:to>
      <xdr:col>22</xdr:col>
      <xdr:colOff>179522</xdr:colOff>
      <xdr:row>59</xdr:row>
      <xdr:rowOff>152083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83F0DA8E-6DD9-4BF5-96BC-74D067408E22}"/>
            </a:ext>
          </a:extLst>
        </xdr:cNvPr>
        <xdr:cNvGrpSpPr/>
      </xdr:nvGrpSpPr>
      <xdr:grpSpPr>
        <a:xfrm>
          <a:off x="1104900" y="5124450"/>
          <a:ext cx="18629447" cy="6267133"/>
          <a:chOff x="809625" y="618361"/>
          <a:chExt cx="18629447" cy="6267133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AB1D649F-CEC3-A1CB-E8E7-8EA4D2449D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809625" y="618361"/>
            <a:ext cx="9980478" cy="6267133"/>
          </a:xfrm>
          <a:prstGeom prst="rect">
            <a:avLst/>
          </a:prstGeom>
        </xdr:spPr>
      </xdr:pic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id="{EE60F8D2-3443-7BED-A806-13CA12AD2D05}"/>
              </a:ext>
            </a:extLst>
          </xdr:cNvPr>
          <xdr:cNvSpPr/>
        </xdr:nvSpPr>
        <xdr:spPr>
          <a:xfrm>
            <a:off x="1876425" y="1038224"/>
            <a:ext cx="581025" cy="657225"/>
          </a:xfrm>
          <a:prstGeom prst="ellipse">
            <a:avLst/>
          </a:prstGeom>
          <a:noFill/>
          <a:ln w="571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BB9F10D7-EB40-5609-3A37-BA00F2E4E041}"/>
              </a:ext>
            </a:extLst>
          </xdr:cNvPr>
          <xdr:cNvSpPr txBox="1"/>
        </xdr:nvSpPr>
        <xdr:spPr>
          <a:xfrm>
            <a:off x="2333625" y="904875"/>
            <a:ext cx="1714500" cy="3238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600" b="1">
                <a:solidFill>
                  <a:srgbClr val="FF0000"/>
                </a:solidFill>
              </a:rPr>
              <a:t>1 - Inserir dades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BFE5B8CF-A71F-E7B6-86C5-5AD839B760B2}"/>
              </a:ext>
            </a:extLst>
          </xdr:cNvPr>
          <xdr:cNvSpPr/>
        </xdr:nvSpPr>
        <xdr:spPr>
          <a:xfrm>
            <a:off x="847725" y="2057399"/>
            <a:ext cx="238125" cy="247651"/>
          </a:xfrm>
          <a:prstGeom prst="ellipse">
            <a:avLst/>
          </a:prstGeom>
          <a:noFill/>
          <a:ln w="57150">
            <a:solidFill>
              <a:schemeClr val="accent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1" name="CuadroTexto 30">
            <a:extLst>
              <a:ext uri="{FF2B5EF4-FFF2-40B4-BE49-F238E27FC236}">
                <a16:creationId xmlns:a16="http://schemas.microsoft.com/office/drawing/2014/main" id="{826F13C3-3377-F72A-2BC7-011BB60677AE}"/>
              </a:ext>
            </a:extLst>
          </xdr:cNvPr>
          <xdr:cNvSpPr txBox="1"/>
        </xdr:nvSpPr>
        <xdr:spPr>
          <a:xfrm>
            <a:off x="1181100" y="2000250"/>
            <a:ext cx="760095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600" b="1">
                <a:solidFill>
                  <a:schemeClr val="accent5"/>
                </a:solidFill>
              </a:rPr>
              <a:t>2 - Tratar los datos (filtrar, revisar y modificar, hacer uniones,</a:t>
            </a:r>
            <a:r>
              <a:rPr lang="es-ES" sz="1600" b="1" baseline="0">
                <a:solidFill>
                  <a:schemeClr val="accent5"/>
                </a:solidFill>
              </a:rPr>
              <a:t> crear nuevas dim o metr</a:t>
            </a:r>
            <a:r>
              <a:rPr lang="es-ES" sz="1600" b="1">
                <a:solidFill>
                  <a:schemeClr val="accent5"/>
                </a:solidFill>
              </a:rPr>
              <a:t>)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id="{20139095-667D-F9B7-565C-8A9DC5ECDD68}"/>
              </a:ext>
            </a:extLst>
          </xdr:cNvPr>
          <xdr:cNvSpPr/>
        </xdr:nvSpPr>
        <xdr:spPr>
          <a:xfrm>
            <a:off x="866775" y="2333624"/>
            <a:ext cx="238125" cy="247651"/>
          </a:xfrm>
          <a:prstGeom prst="ellipse">
            <a:avLst/>
          </a:prstGeom>
          <a:noFill/>
          <a:ln w="57150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B99D74A1-7E08-02BA-4EA7-492D1B0F2F9B}"/>
              </a:ext>
            </a:extLst>
          </xdr:cNvPr>
          <xdr:cNvSpPr txBox="1"/>
        </xdr:nvSpPr>
        <xdr:spPr>
          <a:xfrm>
            <a:off x="1190625" y="2295525"/>
            <a:ext cx="760095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600" b="1">
                <a:solidFill>
                  <a:srgbClr val="00B050"/>
                </a:solidFill>
              </a:rPr>
              <a:t>3 - Modelar los datos:</a:t>
            </a:r>
            <a:r>
              <a:rPr lang="es-ES" sz="1600" b="1" baseline="0">
                <a:solidFill>
                  <a:srgbClr val="00B050"/>
                </a:solidFill>
              </a:rPr>
              <a:t> crear uniones entre las tablas que respondan a los análisis que necesitamos</a:t>
            </a:r>
            <a:endParaRPr lang="es-ES" sz="1600" b="1">
              <a:solidFill>
                <a:srgbClr val="00B050"/>
              </a:solidFill>
            </a:endParaRP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id="{1E9803FD-858C-E825-E63C-053E69DFDCF7}"/>
              </a:ext>
            </a:extLst>
          </xdr:cNvPr>
          <xdr:cNvSpPr/>
        </xdr:nvSpPr>
        <xdr:spPr>
          <a:xfrm>
            <a:off x="847725" y="1781174"/>
            <a:ext cx="238125" cy="247651"/>
          </a:xfrm>
          <a:prstGeom prst="ellipse">
            <a:avLst/>
          </a:prstGeom>
          <a:noFill/>
          <a:ln w="57150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A064D7E2-347C-6632-C352-134978C1531B}"/>
              </a:ext>
            </a:extLst>
          </xdr:cNvPr>
          <xdr:cNvSpPr txBox="1"/>
        </xdr:nvSpPr>
        <xdr:spPr>
          <a:xfrm>
            <a:off x="1190625" y="1714500"/>
            <a:ext cx="760095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600" b="1">
                <a:solidFill>
                  <a:srgbClr val="7030A0"/>
                </a:solidFill>
              </a:rPr>
              <a:t>4 - Crear informes que muestren</a:t>
            </a:r>
            <a:r>
              <a:rPr lang="es-ES" sz="1600" b="1" baseline="0">
                <a:solidFill>
                  <a:srgbClr val="7030A0"/>
                </a:solidFill>
              </a:rPr>
              <a:t> los datos de forma amigable</a:t>
            </a:r>
            <a:endParaRPr lang="es-ES" sz="1600" b="1">
              <a:solidFill>
                <a:srgbClr val="7030A0"/>
              </a:solidFill>
            </a:endParaRPr>
          </a:p>
        </xdr:txBody>
      </xdr:sp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B3ED32D0-DE99-89A6-64A2-B06EF37856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1096625" y="787188"/>
            <a:ext cx="8342447" cy="3631016"/>
          </a:xfrm>
          <a:prstGeom prst="rect">
            <a:avLst/>
          </a:prstGeom>
        </xdr:spPr>
      </xdr:pic>
      <xdr:sp macro="" textlink="">
        <xdr:nvSpPr>
          <xdr:cNvPr id="37" name="Flecha: a la derecha 36">
            <a:extLst>
              <a:ext uri="{FF2B5EF4-FFF2-40B4-BE49-F238E27FC236}">
                <a16:creationId xmlns:a16="http://schemas.microsoft.com/office/drawing/2014/main" id="{BA8FDD61-6FD2-302A-DCC6-351B684B15F2}"/>
              </a:ext>
            </a:extLst>
          </xdr:cNvPr>
          <xdr:cNvSpPr/>
        </xdr:nvSpPr>
        <xdr:spPr>
          <a:xfrm>
            <a:off x="8686800" y="1838325"/>
            <a:ext cx="2419350" cy="666750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2A39-205E-4F60-A024-3A70C6B1995E}">
  <dimension ref="A1:AG55"/>
  <sheetViews>
    <sheetView tabSelected="1" zoomScale="85" zoomScaleNormal="85" workbookViewId="0">
      <selection activeCell="AB51" sqref="AB51"/>
    </sheetView>
  </sheetViews>
  <sheetFormatPr defaultColWidth="11.42578125" defaultRowHeight="15" x14ac:dyDescent="0.25"/>
  <cols>
    <col min="1" max="1" width="10.85546875" bestFit="1" customWidth="1"/>
    <col min="2" max="2" width="10.5703125" bestFit="1" customWidth="1"/>
    <col min="3" max="3" width="5.140625" bestFit="1" customWidth="1"/>
    <col min="5" max="5" width="6.7109375" bestFit="1" customWidth="1"/>
    <col min="6" max="6" width="4.28515625" bestFit="1" customWidth="1"/>
    <col min="7" max="7" width="9.85546875" bestFit="1" customWidth="1"/>
    <col min="8" max="8" width="11.28515625" bestFit="1" customWidth="1"/>
    <col min="9" max="9" width="9" bestFit="1" customWidth="1"/>
    <col min="10" max="10" width="12.140625" bestFit="1" customWidth="1"/>
    <col min="11" max="11" width="8.140625" bestFit="1" customWidth="1"/>
    <col min="12" max="12" width="5.28515625" bestFit="1" customWidth="1"/>
    <col min="13" max="13" width="8.85546875" bestFit="1" customWidth="1"/>
    <col min="14" max="14" width="12.85546875" bestFit="1" customWidth="1"/>
    <col min="19" max="19" width="13.42578125" bestFit="1" customWidth="1"/>
    <col min="20" max="20" width="10.5703125" bestFit="1" customWidth="1"/>
    <col min="21" max="21" width="5.140625" bestFit="1" customWidth="1"/>
    <col min="22" max="22" width="9.7109375" bestFit="1" customWidth="1"/>
    <col min="23" max="23" width="14.7109375" bestFit="1" customWidth="1"/>
    <col min="24" max="24" width="11.42578125" bestFit="1" customWidth="1"/>
    <col min="25" max="25" width="13.42578125" bestFit="1" customWidth="1"/>
    <col min="26" max="26" width="9.85546875" bestFit="1" customWidth="1"/>
    <col min="27" max="27" width="9.7109375" bestFit="1" customWidth="1"/>
    <col min="28" max="28" width="12.140625" bestFit="1" customWidth="1"/>
    <col min="29" max="30" width="8.140625" bestFit="1" customWidth="1"/>
    <col min="31" max="31" width="16.140625" bestFit="1" customWidth="1"/>
    <col min="32" max="32" width="11.28515625" bestFit="1" customWidth="1"/>
    <col min="33" max="33" width="12.85546875" bestFit="1" customWidth="1"/>
  </cols>
  <sheetData>
    <row r="1" spans="1:33" x14ac:dyDescent="0.25">
      <c r="A1" s="10" t="s">
        <v>19</v>
      </c>
      <c r="B1" s="10" t="s">
        <v>20</v>
      </c>
      <c r="C1" s="10" t="s">
        <v>21</v>
      </c>
      <c r="D1" s="10" t="s">
        <v>24</v>
      </c>
      <c r="E1" s="10" t="s">
        <v>25</v>
      </c>
      <c r="F1" s="10" t="s">
        <v>26</v>
      </c>
      <c r="G1" s="10" t="s">
        <v>32</v>
      </c>
      <c r="H1" s="10" t="s">
        <v>53</v>
      </c>
      <c r="I1" s="10" t="s">
        <v>27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47</v>
      </c>
      <c r="S1" t="s">
        <v>51</v>
      </c>
      <c r="W1" t="s">
        <v>50</v>
      </c>
    </row>
    <row r="2" spans="1:33" x14ac:dyDescent="0.25">
      <c r="A2" s="14">
        <v>45613</v>
      </c>
      <c r="B2" s="14" t="s">
        <v>22</v>
      </c>
      <c r="C2" s="15">
        <v>2024</v>
      </c>
      <c r="D2" s="16" t="s">
        <v>28</v>
      </c>
      <c r="E2" s="17">
        <v>190</v>
      </c>
      <c r="F2" s="17">
        <v>98</v>
      </c>
      <c r="G2" s="18" t="s">
        <v>33</v>
      </c>
      <c r="H2" s="18" t="s">
        <v>54</v>
      </c>
      <c r="I2" s="18" t="s">
        <v>34</v>
      </c>
      <c r="J2" s="13">
        <v>20</v>
      </c>
      <c r="K2" s="13">
        <v>10</v>
      </c>
      <c r="L2" s="19" t="s">
        <v>43</v>
      </c>
      <c r="M2" s="19" t="s">
        <v>46</v>
      </c>
      <c r="N2" s="19">
        <v>1000</v>
      </c>
      <c r="S2" s="10" t="s">
        <v>19</v>
      </c>
      <c r="T2" s="10" t="s">
        <v>20</v>
      </c>
      <c r="U2" s="10" t="s">
        <v>21</v>
      </c>
      <c r="W2" s="10" t="s">
        <v>24</v>
      </c>
      <c r="X2" s="10" t="s">
        <v>25</v>
      </c>
      <c r="Y2" s="10" t="s">
        <v>26</v>
      </c>
    </row>
    <row r="3" spans="1:33" x14ac:dyDescent="0.25">
      <c r="A3" s="14">
        <v>45614</v>
      </c>
      <c r="B3" s="14" t="s">
        <v>22</v>
      </c>
      <c r="C3" s="15">
        <v>2024</v>
      </c>
      <c r="D3" s="16" t="s">
        <v>29</v>
      </c>
      <c r="E3" s="17">
        <v>176</v>
      </c>
      <c r="F3" s="17">
        <v>71</v>
      </c>
      <c r="G3" s="18" t="s">
        <v>33</v>
      </c>
      <c r="H3" s="18" t="s">
        <v>54</v>
      </c>
      <c r="I3" s="18" t="s">
        <v>36</v>
      </c>
      <c r="J3" s="13">
        <v>70</v>
      </c>
      <c r="K3" s="13">
        <v>80</v>
      </c>
      <c r="L3" s="19" t="s">
        <v>45</v>
      </c>
      <c r="M3" s="19" t="s">
        <v>48</v>
      </c>
      <c r="N3" s="19">
        <v>500</v>
      </c>
      <c r="S3" s="14">
        <v>45613</v>
      </c>
      <c r="T3" s="14" t="s">
        <v>22</v>
      </c>
      <c r="U3" s="15">
        <v>2024</v>
      </c>
      <c r="W3" s="16" t="s">
        <v>28</v>
      </c>
      <c r="X3" s="17">
        <v>190</v>
      </c>
      <c r="Y3" s="17">
        <v>98</v>
      </c>
    </row>
    <row r="4" spans="1:33" x14ac:dyDescent="0.25">
      <c r="A4" s="14">
        <v>45615</v>
      </c>
      <c r="B4" s="14" t="s">
        <v>22</v>
      </c>
      <c r="C4" s="15">
        <v>2024</v>
      </c>
      <c r="D4" s="16" t="s">
        <v>30</v>
      </c>
      <c r="E4" s="17">
        <v>165</v>
      </c>
      <c r="F4" s="17">
        <v>70</v>
      </c>
      <c r="G4" s="18" t="s">
        <v>33</v>
      </c>
      <c r="H4" s="18" t="s">
        <v>54</v>
      </c>
      <c r="I4" s="18" t="s">
        <v>35</v>
      </c>
      <c r="J4" s="13">
        <v>50</v>
      </c>
      <c r="K4" s="13">
        <v>60</v>
      </c>
      <c r="L4" s="19" t="s">
        <v>43</v>
      </c>
      <c r="M4" s="19" t="s">
        <v>46</v>
      </c>
      <c r="N4" s="19">
        <v>1000</v>
      </c>
      <c r="S4" s="14">
        <v>45614</v>
      </c>
      <c r="T4" s="14" t="s">
        <v>22</v>
      </c>
      <c r="U4" s="15">
        <v>2024</v>
      </c>
      <c r="W4" s="16" t="s">
        <v>29</v>
      </c>
      <c r="X4" s="17">
        <v>176</v>
      </c>
      <c r="Y4" s="17">
        <v>71</v>
      </c>
    </row>
    <row r="5" spans="1:33" x14ac:dyDescent="0.25">
      <c r="A5" s="14">
        <v>45616</v>
      </c>
      <c r="B5" s="14" t="s">
        <v>22</v>
      </c>
      <c r="C5" s="15">
        <v>2024</v>
      </c>
      <c r="D5" s="16" t="s">
        <v>31</v>
      </c>
      <c r="E5" s="17">
        <v>171</v>
      </c>
      <c r="F5" s="17">
        <v>65</v>
      </c>
      <c r="G5" s="18" t="s">
        <v>33</v>
      </c>
      <c r="H5" s="18" t="s">
        <v>54</v>
      </c>
      <c r="I5" s="18" t="s">
        <v>36</v>
      </c>
      <c r="J5" s="13">
        <v>70</v>
      </c>
      <c r="K5" s="13">
        <v>80</v>
      </c>
      <c r="L5" s="19" t="s">
        <v>45</v>
      </c>
      <c r="M5" s="19" t="s">
        <v>48</v>
      </c>
      <c r="N5" s="19">
        <v>500</v>
      </c>
      <c r="P5" s="11"/>
      <c r="S5" s="14">
        <v>45615</v>
      </c>
      <c r="T5" s="14" t="s">
        <v>22</v>
      </c>
      <c r="U5" s="15">
        <v>2024</v>
      </c>
      <c r="W5" s="16" t="s">
        <v>30</v>
      </c>
      <c r="X5" s="17">
        <v>165</v>
      </c>
      <c r="Y5" s="17">
        <v>70</v>
      </c>
    </row>
    <row r="6" spans="1:33" x14ac:dyDescent="0.25">
      <c r="A6" s="14">
        <v>45617</v>
      </c>
      <c r="B6" s="14" t="s">
        <v>22</v>
      </c>
      <c r="C6" s="15">
        <v>2024</v>
      </c>
      <c r="D6" s="16" t="s">
        <v>29</v>
      </c>
      <c r="E6" s="17">
        <v>176</v>
      </c>
      <c r="F6" s="17">
        <v>71</v>
      </c>
      <c r="G6" s="18" t="s">
        <v>37</v>
      </c>
      <c r="H6" s="18" t="s">
        <v>55</v>
      </c>
      <c r="I6" s="18" t="s">
        <v>38</v>
      </c>
      <c r="J6" s="13">
        <v>50</v>
      </c>
      <c r="K6" s="13">
        <v>0</v>
      </c>
      <c r="L6" s="19" t="s">
        <v>44</v>
      </c>
      <c r="M6" s="19" t="s">
        <v>49</v>
      </c>
      <c r="N6" s="19">
        <v>300</v>
      </c>
      <c r="S6" s="14">
        <v>45616</v>
      </c>
      <c r="T6" s="14" t="s">
        <v>22</v>
      </c>
      <c r="U6" s="15">
        <v>2024</v>
      </c>
      <c r="W6" s="16" t="s">
        <v>31</v>
      </c>
      <c r="X6" s="17">
        <v>171</v>
      </c>
      <c r="Y6" s="17">
        <v>65</v>
      </c>
    </row>
    <row r="7" spans="1:33" x14ac:dyDescent="0.25">
      <c r="A7" s="14">
        <v>45618</v>
      </c>
      <c r="B7" s="14" t="s">
        <v>22</v>
      </c>
      <c r="C7" s="15">
        <v>2024</v>
      </c>
      <c r="D7" s="16" t="s">
        <v>30</v>
      </c>
      <c r="E7" s="17">
        <v>165</v>
      </c>
      <c r="F7" s="17">
        <v>70</v>
      </c>
      <c r="G7" s="18" t="s">
        <v>33</v>
      </c>
      <c r="H7" s="18" t="s">
        <v>54</v>
      </c>
      <c r="I7" s="18" t="s">
        <v>34</v>
      </c>
      <c r="J7" s="13">
        <v>20</v>
      </c>
      <c r="K7" s="13">
        <v>10</v>
      </c>
      <c r="L7" s="19" t="s">
        <v>43</v>
      </c>
      <c r="M7" s="19" t="s">
        <v>46</v>
      </c>
      <c r="N7" s="19">
        <v>1000</v>
      </c>
      <c r="S7" s="14">
        <v>45617</v>
      </c>
      <c r="T7" s="14" t="s">
        <v>22</v>
      </c>
      <c r="U7" s="15">
        <v>2024</v>
      </c>
    </row>
    <row r="8" spans="1:33" x14ac:dyDescent="0.25">
      <c r="A8" s="14">
        <v>45619</v>
      </c>
      <c r="B8" s="14" t="s">
        <v>22</v>
      </c>
      <c r="C8" s="15">
        <v>2024</v>
      </c>
      <c r="D8" s="16" t="s">
        <v>28</v>
      </c>
      <c r="E8" s="17">
        <v>190</v>
      </c>
      <c r="F8" s="17">
        <v>98</v>
      </c>
      <c r="G8" s="18" t="s">
        <v>37</v>
      </c>
      <c r="H8" s="18" t="s">
        <v>55</v>
      </c>
      <c r="I8" s="18" t="s">
        <v>38</v>
      </c>
      <c r="J8" s="13">
        <v>70</v>
      </c>
      <c r="K8" s="13">
        <v>0</v>
      </c>
      <c r="L8" s="19" t="s">
        <v>44</v>
      </c>
      <c r="M8" s="19" t="s">
        <v>49</v>
      </c>
      <c r="N8" s="19">
        <v>300</v>
      </c>
      <c r="S8" s="14">
        <v>45618</v>
      </c>
      <c r="T8" s="14" t="s">
        <v>22</v>
      </c>
      <c r="U8" s="15">
        <v>2024</v>
      </c>
    </row>
    <row r="9" spans="1:33" x14ac:dyDescent="0.25">
      <c r="A9" s="14">
        <v>45620</v>
      </c>
      <c r="B9" s="14" t="s">
        <v>22</v>
      </c>
      <c r="C9" s="15">
        <v>2024</v>
      </c>
      <c r="D9" s="16" t="s">
        <v>29</v>
      </c>
      <c r="E9" s="17">
        <v>176</v>
      </c>
      <c r="F9" s="17">
        <v>71</v>
      </c>
      <c r="G9" s="18" t="s">
        <v>33</v>
      </c>
      <c r="H9" s="18" t="s">
        <v>54</v>
      </c>
      <c r="I9" s="18" t="s">
        <v>36</v>
      </c>
      <c r="J9" s="13">
        <v>50</v>
      </c>
      <c r="K9" s="13">
        <v>100</v>
      </c>
      <c r="L9" s="19" t="s">
        <v>44</v>
      </c>
      <c r="M9" s="19" t="s">
        <v>49</v>
      </c>
      <c r="N9" s="19">
        <v>300</v>
      </c>
      <c r="S9" s="14">
        <v>45619</v>
      </c>
      <c r="T9" s="14" t="s">
        <v>22</v>
      </c>
      <c r="U9" s="15">
        <v>2024</v>
      </c>
    </row>
    <row r="10" spans="1:33" x14ac:dyDescent="0.25">
      <c r="A10" s="14">
        <v>45621</v>
      </c>
      <c r="B10" s="14" t="s">
        <v>22</v>
      </c>
      <c r="C10" s="15">
        <v>2024</v>
      </c>
      <c r="D10" s="16" t="s">
        <v>28</v>
      </c>
      <c r="E10" s="17">
        <v>190</v>
      </c>
      <c r="F10" s="17">
        <v>98</v>
      </c>
      <c r="G10" s="18" t="s">
        <v>33</v>
      </c>
      <c r="H10" s="18" t="s">
        <v>54</v>
      </c>
      <c r="I10" s="18" t="s">
        <v>35</v>
      </c>
      <c r="J10" s="13">
        <v>70</v>
      </c>
      <c r="K10" s="13">
        <v>60</v>
      </c>
      <c r="L10" s="19" t="s">
        <v>43</v>
      </c>
      <c r="M10" s="19" t="s">
        <v>46</v>
      </c>
      <c r="N10" s="19">
        <v>1000</v>
      </c>
      <c r="S10" s="14">
        <v>45620</v>
      </c>
      <c r="T10" s="14" t="s">
        <v>22</v>
      </c>
      <c r="U10" s="15">
        <v>2024</v>
      </c>
      <c r="W10" s="10" t="s">
        <v>19</v>
      </c>
      <c r="X10" s="10" t="s">
        <v>24</v>
      </c>
      <c r="Y10" s="10" t="s">
        <v>27</v>
      </c>
      <c r="Z10" s="10" t="s">
        <v>41</v>
      </c>
      <c r="AA10" s="10" t="s">
        <v>39</v>
      </c>
      <c r="AB10" s="10" t="s">
        <v>40</v>
      </c>
    </row>
    <row r="11" spans="1:33" x14ac:dyDescent="0.25">
      <c r="A11" s="14">
        <v>45622</v>
      </c>
      <c r="B11" s="14" t="s">
        <v>22</v>
      </c>
      <c r="C11" s="15">
        <v>2024</v>
      </c>
      <c r="D11" s="16" t="s">
        <v>29</v>
      </c>
      <c r="E11" s="17">
        <v>176</v>
      </c>
      <c r="F11" s="17">
        <v>71</v>
      </c>
      <c r="G11" s="18" t="s">
        <v>33</v>
      </c>
      <c r="H11" s="18" t="s">
        <v>54</v>
      </c>
      <c r="I11" s="18" t="s">
        <v>35</v>
      </c>
      <c r="J11" s="13">
        <v>20</v>
      </c>
      <c r="K11" s="13">
        <v>70</v>
      </c>
      <c r="L11" s="19" t="s">
        <v>44</v>
      </c>
      <c r="M11" s="19" t="s">
        <v>49</v>
      </c>
      <c r="N11" s="19">
        <v>300</v>
      </c>
      <c r="S11" s="14">
        <v>45621</v>
      </c>
      <c r="T11" s="14" t="s">
        <v>22</v>
      </c>
      <c r="U11" s="15">
        <v>2024</v>
      </c>
      <c r="W11" s="14">
        <v>45613</v>
      </c>
      <c r="X11" s="16" t="s">
        <v>28</v>
      </c>
      <c r="Y11" s="18" t="s">
        <v>34</v>
      </c>
      <c r="Z11" s="19" t="s">
        <v>43</v>
      </c>
      <c r="AA11" s="13">
        <v>20</v>
      </c>
      <c r="AB11" s="13">
        <v>10</v>
      </c>
    </row>
    <row r="12" spans="1:33" x14ac:dyDescent="0.25">
      <c r="A12" s="14">
        <v>45623</v>
      </c>
      <c r="B12" s="14" t="s">
        <v>22</v>
      </c>
      <c r="C12" s="15">
        <v>2024</v>
      </c>
      <c r="D12" s="16" t="s">
        <v>28</v>
      </c>
      <c r="E12" s="17">
        <v>190</v>
      </c>
      <c r="F12" s="17">
        <v>98</v>
      </c>
      <c r="G12" s="18" t="s">
        <v>37</v>
      </c>
      <c r="H12" s="18" t="s">
        <v>55</v>
      </c>
      <c r="I12" s="18" t="s">
        <v>38</v>
      </c>
      <c r="J12" s="13">
        <v>70</v>
      </c>
      <c r="K12" s="13">
        <v>0</v>
      </c>
      <c r="L12" s="19" t="s">
        <v>44</v>
      </c>
      <c r="M12" s="19" t="s">
        <v>49</v>
      </c>
      <c r="N12" s="19">
        <v>300</v>
      </c>
      <c r="S12" s="14">
        <v>45622</v>
      </c>
      <c r="T12" s="14" t="s">
        <v>22</v>
      </c>
      <c r="U12" s="15">
        <v>2024</v>
      </c>
      <c r="W12" s="14">
        <v>45614</v>
      </c>
      <c r="X12" s="16" t="s">
        <v>29</v>
      </c>
      <c r="Y12" s="18" t="s">
        <v>36</v>
      </c>
      <c r="Z12" s="19" t="s">
        <v>45</v>
      </c>
      <c r="AA12" s="13">
        <v>70</v>
      </c>
      <c r="AB12" s="13">
        <v>80</v>
      </c>
    </row>
    <row r="13" spans="1:33" x14ac:dyDescent="0.25">
      <c r="A13" s="14">
        <v>45624</v>
      </c>
      <c r="B13" s="14" t="s">
        <v>22</v>
      </c>
      <c r="C13" s="15">
        <v>2024</v>
      </c>
      <c r="D13" s="16" t="s">
        <v>30</v>
      </c>
      <c r="E13" s="17">
        <v>165</v>
      </c>
      <c r="F13" s="17">
        <v>70</v>
      </c>
      <c r="G13" s="18" t="s">
        <v>33</v>
      </c>
      <c r="H13" s="18" t="s">
        <v>54</v>
      </c>
      <c r="I13" s="18" t="s">
        <v>34</v>
      </c>
      <c r="J13" s="13">
        <v>50</v>
      </c>
      <c r="K13" s="13">
        <v>20</v>
      </c>
      <c r="L13" s="19" t="s">
        <v>44</v>
      </c>
      <c r="M13" s="19" t="s">
        <v>49</v>
      </c>
      <c r="N13" s="19">
        <v>300</v>
      </c>
      <c r="S13" s="14">
        <v>45623</v>
      </c>
      <c r="T13" s="14" t="s">
        <v>22</v>
      </c>
      <c r="U13" s="15">
        <v>2024</v>
      </c>
      <c r="W13" s="14">
        <v>45615</v>
      </c>
      <c r="X13" s="16" t="s">
        <v>30</v>
      </c>
      <c r="Y13" s="18" t="s">
        <v>35</v>
      </c>
      <c r="Z13" s="19" t="s">
        <v>43</v>
      </c>
      <c r="AA13" s="13">
        <v>50</v>
      </c>
      <c r="AB13" s="13">
        <v>60</v>
      </c>
      <c r="AE13" s="10" t="s">
        <v>41</v>
      </c>
      <c r="AF13" s="10" t="s">
        <v>42</v>
      </c>
      <c r="AG13" s="10" t="s">
        <v>47</v>
      </c>
    </row>
    <row r="14" spans="1:33" x14ac:dyDescent="0.25">
      <c r="A14" s="14">
        <v>45625</v>
      </c>
      <c r="B14" s="14" t="s">
        <v>22</v>
      </c>
      <c r="C14" s="15">
        <v>2024</v>
      </c>
      <c r="D14" s="16" t="s">
        <v>29</v>
      </c>
      <c r="E14" s="17">
        <v>176</v>
      </c>
      <c r="F14" s="17">
        <v>71</v>
      </c>
      <c r="G14" s="18" t="s">
        <v>33</v>
      </c>
      <c r="H14" s="18" t="s">
        <v>54</v>
      </c>
      <c r="I14" s="18" t="s">
        <v>36</v>
      </c>
      <c r="J14" s="13">
        <v>70</v>
      </c>
      <c r="K14" s="13">
        <v>100</v>
      </c>
      <c r="L14" s="19" t="s">
        <v>43</v>
      </c>
      <c r="M14" s="19" t="s">
        <v>46</v>
      </c>
      <c r="N14" s="19">
        <v>1000</v>
      </c>
      <c r="S14" s="14">
        <v>45624</v>
      </c>
      <c r="T14" s="14" t="s">
        <v>22</v>
      </c>
      <c r="U14" s="15">
        <v>2024</v>
      </c>
      <c r="W14" s="14">
        <v>45616</v>
      </c>
      <c r="X14" s="16" t="s">
        <v>31</v>
      </c>
      <c r="Y14" s="18" t="s">
        <v>36</v>
      </c>
      <c r="Z14" s="19" t="s">
        <v>45</v>
      </c>
      <c r="AA14" s="13">
        <v>70</v>
      </c>
      <c r="AB14" s="13">
        <v>80</v>
      </c>
      <c r="AE14" s="19" t="s">
        <v>43</v>
      </c>
      <c r="AF14" s="19" t="s">
        <v>46</v>
      </c>
      <c r="AG14" s="19">
        <v>1000</v>
      </c>
    </row>
    <row r="15" spans="1:33" x14ac:dyDescent="0.25">
      <c r="A15" s="14">
        <v>45626</v>
      </c>
      <c r="B15" s="14" t="s">
        <v>22</v>
      </c>
      <c r="C15" s="15">
        <v>2024</v>
      </c>
      <c r="D15" s="16" t="s">
        <v>28</v>
      </c>
      <c r="E15" s="17">
        <v>190</v>
      </c>
      <c r="F15" s="17">
        <v>98</v>
      </c>
      <c r="G15" s="18" t="s">
        <v>37</v>
      </c>
      <c r="H15" s="18" t="s">
        <v>55</v>
      </c>
      <c r="I15" s="18" t="s">
        <v>38</v>
      </c>
      <c r="J15" s="13">
        <v>20</v>
      </c>
      <c r="K15" s="13">
        <v>0</v>
      </c>
      <c r="L15" s="19" t="s">
        <v>44</v>
      </c>
      <c r="M15" s="19" t="s">
        <v>49</v>
      </c>
      <c r="N15" s="19">
        <v>300</v>
      </c>
      <c r="S15" s="14">
        <v>45625</v>
      </c>
      <c r="T15" s="14" t="s">
        <v>22</v>
      </c>
      <c r="U15" s="15">
        <v>2024</v>
      </c>
      <c r="W15" s="14">
        <v>45617</v>
      </c>
      <c r="X15" s="16" t="s">
        <v>29</v>
      </c>
      <c r="Y15" s="18" t="s">
        <v>38</v>
      </c>
      <c r="Z15" s="19" t="s">
        <v>44</v>
      </c>
      <c r="AA15" s="13">
        <v>50</v>
      </c>
      <c r="AB15" s="13">
        <v>0</v>
      </c>
      <c r="AE15" s="19" t="s">
        <v>45</v>
      </c>
      <c r="AF15" s="19" t="s">
        <v>48</v>
      </c>
      <c r="AG15" s="19">
        <v>500</v>
      </c>
    </row>
    <row r="16" spans="1:33" x14ac:dyDescent="0.25">
      <c r="A16" s="14">
        <v>45627</v>
      </c>
      <c r="B16" s="14" t="s">
        <v>23</v>
      </c>
      <c r="C16" s="15">
        <v>2024</v>
      </c>
      <c r="D16" s="16" t="s">
        <v>29</v>
      </c>
      <c r="E16" s="17">
        <v>176</v>
      </c>
      <c r="F16" s="17">
        <v>71</v>
      </c>
      <c r="G16" s="18" t="s">
        <v>33</v>
      </c>
      <c r="H16" s="18" t="s">
        <v>54</v>
      </c>
      <c r="I16" s="18" t="s">
        <v>35</v>
      </c>
      <c r="J16" s="13">
        <v>100</v>
      </c>
      <c r="K16" s="13">
        <v>70</v>
      </c>
      <c r="L16" s="19" t="s">
        <v>45</v>
      </c>
      <c r="M16" s="19" t="s">
        <v>48</v>
      </c>
      <c r="N16" s="19">
        <v>500</v>
      </c>
      <c r="S16" s="14">
        <v>45626</v>
      </c>
      <c r="T16" s="14" t="s">
        <v>22</v>
      </c>
      <c r="U16" s="15">
        <v>2024</v>
      </c>
      <c r="W16" s="14">
        <v>45618</v>
      </c>
      <c r="X16" s="16" t="s">
        <v>30</v>
      </c>
      <c r="Y16" s="18" t="s">
        <v>34</v>
      </c>
      <c r="Z16" s="19" t="s">
        <v>43</v>
      </c>
      <c r="AA16" s="13">
        <v>20</v>
      </c>
      <c r="AB16" s="13">
        <v>10</v>
      </c>
      <c r="AE16" s="19" t="s">
        <v>44</v>
      </c>
      <c r="AF16" s="19" t="s">
        <v>49</v>
      </c>
      <c r="AG16" s="19">
        <v>300</v>
      </c>
    </row>
    <row r="17" spans="1:33" x14ac:dyDescent="0.25">
      <c r="A17" s="14">
        <v>45628</v>
      </c>
      <c r="B17" s="14" t="s">
        <v>23</v>
      </c>
      <c r="C17" s="15">
        <v>2024</v>
      </c>
      <c r="D17" s="16" t="s">
        <v>29</v>
      </c>
      <c r="E17" s="17">
        <v>176</v>
      </c>
      <c r="F17" s="17">
        <v>71</v>
      </c>
      <c r="G17" s="18" t="s">
        <v>33</v>
      </c>
      <c r="H17" s="18" t="s">
        <v>54</v>
      </c>
      <c r="I17" s="18" t="s">
        <v>36</v>
      </c>
      <c r="J17" s="13">
        <v>50</v>
      </c>
      <c r="K17" s="13">
        <v>100</v>
      </c>
      <c r="L17" s="19" t="s">
        <v>43</v>
      </c>
      <c r="M17" s="19" t="s">
        <v>46</v>
      </c>
      <c r="N17" s="19">
        <v>1000</v>
      </c>
      <c r="S17" s="14">
        <v>45627</v>
      </c>
      <c r="T17" s="14" t="s">
        <v>23</v>
      </c>
      <c r="U17" s="15">
        <v>2024</v>
      </c>
      <c r="W17" s="14">
        <v>45619</v>
      </c>
      <c r="X17" s="16" t="s">
        <v>28</v>
      </c>
      <c r="Y17" s="18" t="s">
        <v>38</v>
      </c>
      <c r="Z17" s="19" t="s">
        <v>44</v>
      </c>
      <c r="AA17" s="13">
        <v>70</v>
      </c>
      <c r="AB17" s="13">
        <v>0</v>
      </c>
    </row>
    <row r="18" spans="1:33" x14ac:dyDescent="0.25">
      <c r="A18" s="14">
        <v>45629</v>
      </c>
      <c r="B18" s="14" t="s">
        <v>23</v>
      </c>
      <c r="C18" s="15">
        <v>2024</v>
      </c>
      <c r="D18" s="16" t="s">
        <v>30</v>
      </c>
      <c r="E18" s="17">
        <v>165</v>
      </c>
      <c r="F18" s="17">
        <v>70</v>
      </c>
      <c r="G18" s="18" t="s">
        <v>33</v>
      </c>
      <c r="H18" s="18" t="s">
        <v>54</v>
      </c>
      <c r="I18" s="18" t="s">
        <v>34</v>
      </c>
      <c r="J18" s="13">
        <v>20</v>
      </c>
      <c r="K18" s="13">
        <v>20</v>
      </c>
      <c r="L18" s="19" t="s">
        <v>45</v>
      </c>
      <c r="M18" s="19" t="s">
        <v>48</v>
      </c>
      <c r="N18" s="19">
        <v>500</v>
      </c>
      <c r="S18" s="14">
        <v>45628</v>
      </c>
      <c r="T18" s="14" t="s">
        <v>23</v>
      </c>
      <c r="U18" s="15">
        <v>2024</v>
      </c>
      <c r="W18" s="14">
        <v>45620</v>
      </c>
      <c r="X18" s="16" t="s">
        <v>29</v>
      </c>
      <c r="Y18" s="18" t="s">
        <v>36</v>
      </c>
      <c r="Z18" s="19" t="s">
        <v>44</v>
      </c>
      <c r="AA18" s="13">
        <v>50</v>
      </c>
      <c r="AB18" s="13">
        <v>100</v>
      </c>
    </row>
    <row r="19" spans="1:33" x14ac:dyDescent="0.25">
      <c r="A19" s="14">
        <v>45630</v>
      </c>
      <c r="B19" s="14" t="s">
        <v>23</v>
      </c>
      <c r="C19" s="15">
        <v>2024</v>
      </c>
      <c r="D19" s="16" t="s">
        <v>30</v>
      </c>
      <c r="E19" s="17">
        <v>165</v>
      </c>
      <c r="F19" s="17">
        <v>70</v>
      </c>
      <c r="G19" s="18" t="s">
        <v>37</v>
      </c>
      <c r="H19" s="18" t="s">
        <v>55</v>
      </c>
      <c r="I19" s="18" t="s">
        <v>38</v>
      </c>
      <c r="J19" s="13">
        <v>100</v>
      </c>
      <c r="K19" s="13">
        <v>0</v>
      </c>
      <c r="L19" s="19" t="s">
        <v>45</v>
      </c>
      <c r="M19" s="19" t="s">
        <v>48</v>
      </c>
      <c r="N19" s="19">
        <v>500</v>
      </c>
      <c r="S19" s="14">
        <v>45629</v>
      </c>
      <c r="T19" s="14" t="s">
        <v>23</v>
      </c>
      <c r="U19" s="15">
        <v>2024</v>
      </c>
      <c r="W19" s="14">
        <v>45621</v>
      </c>
      <c r="X19" s="16" t="s">
        <v>28</v>
      </c>
      <c r="Y19" s="18" t="s">
        <v>35</v>
      </c>
      <c r="Z19" s="19" t="s">
        <v>43</v>
      </c>
      <c r="AA19" s="13">
        <v>70</v>
      </c>
      <c r="AB19" s="13">
        <v>60</v>
      </c>
    </row>
    <row r="20" spans="1:33" x14ac:dyDescent="0.25">
      <c r="A20" s="14">
        <v>45631</v>
      </c>
      <c r="B20" s="14" t="s">
        <v>23</v>
      </c>
      <c r="C20" s="15">
        <v>2024</v>
      </c>
      <c r="D20" s="16" t="s">
        <v>28</v>
      </c>
      <c r="E20" s="17">
        <v>190</v>
      </c>
      <c r="F20" s="17">
        <v>98</v>
      </c>
      <c r="G20" s="18" t="s">
        <v>33</v>
      </c>
      <c r="H20" s="18" t="s">
        <v>54</v>
      </c>
      <c r="I20" s="18" t="s">
        <v>36</v>
      </c>
      <c r="J20" s="13">
        <v>20</v>
      </c>
      <c r="K20" s="13">
        <v>80</v>
      </c>
      <c r="L20" s="19" t="s">
        <v>43</v>
      </c>
      <c r="M20" s="19" t="s">
        <v>46</v>
      </c>
      <c r="N20" s="19">
        <v>1000</v>
      </c>
      <c r="S20" s="14">
        <v>45630</v>
      </c>
      <c r="T20" s="14" t="s">
        <v>23</v>
      </c>
      <c r="U20" s="15">
        <v>2024</v>
      </c>
      <c r="W20" s="14">
        <v>45622</v>
      </c>
      <c r="X20" s="16" t="s">
        <v>29</v>
      </c>
      <c r="Y20" s="18" t="s">
        <v>35</v>
      </c>
      <c r="Z20" s="19" t="s">
        <v>44</v>
      </c>
      <c r="AA20" s="13">
        <v>20</v>
      </c>
      <c r="AB20" s="13">
        <v>70</v>
      </c>
    </row>
    <row r="21" spans="1:33" x14ac:dyDescent="0.25">
      <c r="A21" s="14">
        <v>45632</v>
      </c>
      <c r="B21" s="14" t="s">
        <v>23</v>
      </c>
      <c r="C21" s="15">
        <v>2024</v>
      </c>
      <c r="D21" s="16" t="s">
        <v>29</v>
      </c>
      <c r="E21" s="17">
        <v>176</v>
      </c>
      <c r="F21" s="17">
        <v>71</v>
      </c>
      <c r="G21" s="18" t="s">
        <v>33</v>
      </c>
      <c r="H21" s="18" t="s">
        <v>54</v>
      </c>
      <c r="I21" s="18" t="s">
        <v>35</v>
      </c>
      <c r="J21" s="13">
        <v>50</v>
      </c>
      <c r="K21" s="13">
        <v>70</v>
      </c>
      <c r="L21" s="19" t="s">
        <v>45</v>
      </c>
      <c r="M21" s="19" t="s">
        <v>48</v>
      </c>
      <c r="N21" s="19">
        <v>500</v>
      </c>
      <c r="S21" s="14">
        <v>45631</v>
      </c>
      <c r="T21" s="14" t="s">
        <v>23</v>
      </c>
      <c r="U21" s="15">
        <v>2024</v>
      </c>
      <c r="W21" s="14">
        <v>45623</v>
      </c>
      <c r="X21" s="16" t="s">
        <v>28</v>
      </c>
      <c r="Y21" s="18" t="s">
        <v>38</v>
      </c>
      <c r="Z21" s="19" t="s">
        <v>44</v>
      </c>
      <c r="AA21" s="13">
        <v>70</v>
      </c>
      <c r="AB21" s="13">
        <v>0</v>
      </c>
    </row>
    <row r="22" spans="1:33" x14ac:dyDescent="0.25">
      <c r="A22" s="14">
        <v>45633</v>
      </c>
      <c r="B22" s="14" t="s">
        <v>23</v>
      </c>
      <c r="C22" s="15">
        <v>2024</v>
      </c>
      <c r="D22" s="16" t="s">
        <v>30</v>
      </c>
      <c r="E22" s="17">
        <v>165</v>
      </c>
      <c r="F22" s="17">
        <v>70</v>
      </c>
      <c r="G22" s="18" t="s">
        <v>37</v>
      </c>
      <c r="H22" s="18" t="s">
        <v>55</v>
      </c>
      <c r="I22" s="18" t="s">
        <v>38</v>
      </c>
      <c r="J22" s="13">
        <v>100</v>
      </c>
      <c r="K22" s="13">
        <v>0</v>
      </c>
      <c r="L22" s="19" t="s">
        <v>45</v>
      </c>
      <c r="M22" s="19" t="s">
        <v>48</v>
      </c>
      <c r="N22" s="19">
        <v>500</v>
      </c>
      <c r="S22" s="14">
        <v>45632</v>
      </c>
      <c r="T22" s="14" t="s">
        <v>23</v>
      </c>
      <c r="U22" s="15">
        <v>2024</v>
      </c>
      <c r="W22" s="14">
        <v>45624</v>
      </c>
      <c r="X22" s="16" t="s">
        <v>30</v>
      </c>
      <c r="Y22" s="18" t="s">
        <v>34</v>
      </c>
      <c r="Z22" s="19" t="s">
        <v>44</v>
      </c>
      <c r="AA22" s="13">
        <v>50</v>
      </c>
      <c r="AB22" s="13">
        <v>20</v>
      </c>
    </row>
    <row r="23" spans="1:33" x14ac:dyDescent="0.25">
      <c r="A23" s="14">
        <v>45634</v>
      </c>
      <c r="B23" s="14" t="s">
        <v>23</v>
      </c>
      <c r="C23" s="15">
        <v>2024</v>
      </c>
      <c r="D23" s="16" t="s">
        <v>31</v>
      </c>
      <c r="E23" s="17">
        <v>171</v>
      </c>
      <c r="F23" s="17">
        <v>65</v>
      </c>
      <c r="G23" s="18" t="s">
        <v>33</v>
      </c>
      <c r="H23" s="18" t="s">
        <v>54</v>
      </c>
      <c r="I23" s="18" t="s">
        <v>34</v>
      </c>
      <c r="J23" s="13">
        <v>20</v>
      </c>
      <c r="K23" s="13">
        <v>20</v>
      </c>
      <c r="L23" s="19" t="s">
        <v>43</v>
      </c>
      <c r="M23" s="19" t="s">
        <v>46</v>
      </c>
      <c r="N23" s="19">
        <v>1000</v>
      </c>
      <c r="S23" s="14">
        <v>45633</v>
      </c>
      <c r="T23" s="14" t="s">
        <v>23</v>
      </c>
      <c r="U23" s="15">
        <v>2024</v>
      </c>
      <c r="W23" s="14">
        <v>45625</v>
      </c>
      <c r="X23" s="16" t="s">
        <v>29</v>
      </c>
      <c r="Y23" s="18" t="s">
        <v>36</v>
      </c>
      <c r="Z23" s="19" t="s">
        <v>43</v>
      </c>
      <c r="AA23" s="13">
        <v>70</v>
      </c>
      <c r="AB23" s="13">
        <v>100</v>
      </c>
    </row>
    <row r="24" spans="1:33" x14ac:dyDescent="0.25">
      <c r="A24" s="14">
        <v>45635</v>
      </c>
      <c r="B24" s="14" t="s">
        <v>23</v>
      </c>
      <c r="C24" s="15">
        <v>2024</v>
      </c>
      <c r="D24" s="16" t="s">
        <v>28</v>
      </c>
      <c r="E24" s="17">
        <v>190</v>
      </c>
      <c r="F24" s="17">
        <v>98</v>
      </c>
      <c r="G24" s="18" t="s">
        <v>33</v>
      </c>
      <c r="H24" s="18" t="s">
        <v>54</v>
      </c>
      <c r="I24" s="18" t="s">
        <v>36</v>
      </c>
      <c r="J24" s="13">
        <v>50</v>
      </c>
      <c r="K24" s="13">
        <v>80</v>
      </c>
      <c r="L24" s="19" t="s">
        <v>45</v>
      </c>
      <c r="M24" s="19" t="s">
        <v>48</v>
      </c>
      <c r="N24" s="19">
        <v>500</v>
      </c>
      <c r="S24" s="14">
        <v>45634</v>
      </c>
      <c r="T24" s="14" t="s">
        <v>23</v>
      </c>
      <c r="U24" s="15">
        <v>2024</v>
      </c>
      <c r="W24" s="14">
        <v>45626</v>
      </c>
      <c r="X24" s="16" t="s">
        <v>28</v>
      </c>
      <c r="Y24" s="18" t="s">
        <v>38</v>
      </c>
      <c r="Z24" s="19" t="s">
        <v>44</v>
      </c>
      <c r="AA24" s="13">
        <v>20</v>
      </c>
      <c r="AB24" s="13">
        <v>0</v>
      </c>
    </row>
    <row r="25" spans="1:33" x14ac:dyDescent="0.25">
      <c r="A25" s="14">
        <v>45636</v>
      </c>
      <c r="B25" s="14" t="s">
        <v>23</v>
      </c>
      <c r="C25" s="15">
        <v>2024</v>
      </c>
      <c r="D25" s="16" t="s">
        <v>31</v>
      </c>
      <c r="E25" s="17">
        <v>171</v>
      </c>
      <c r="F25" s="17">
        <v>65</v>
      </c>
      <c r="G25" s="18" t="s">
        <v>33</v>
      </c>
      <c r="H25" s="18" t="s">
        <v>54</v>
      </c>
      <c r="I25" s="18" t="s">
        <v>35</v>
      </c>
      <c r="J25" s="13">
        <v>20</v>
      </c>
      <c r="K25" s="13">
        <v>70</v>
      </c>
      <c r="L25" s="19" t="s">
        <v>43</v>
      </c>
      <c r="M25" s="19" t="s">
        <v>46</v>
      </c>
      <c r="N25" s="19">
        <v>1000</v>
      </c>
      <c r="S25" s="14">
        <v>45635</v>
      </c>
      <c r="T25" s="14" t="s">
        <v>23</v>
      </c>
      <c r="U25" s="15">
        <v>2024</v>
      </c>
      <c r="W25" s="14">
        <v>45627</v>
      </c>
      <c r="X25" s="16" t="s">
        <v>29</v>
      </c>
      <c r="Y25" s="18" t="s">
        <v>35</v>
      </c>
      <c r="Z25" s="19" t="s">
        <v>45</v>
      </c>
      <c r="AA25" s="13">
        <v>100</v>
      </c>
      <c r="AB25" s="13">
        <v>70</v>
      </c>
    </row>
    <row r="26" spans="1:33" x14ac:dyDescent="0.25">
      <c r="A26" s="14">
        <v>45637</v>
      </c>
      <c r="B26" s="14" t="s">
        <v>23</v>
      </c>
      <c r="C26" s="15">
        <v>2024</v>
      </c>
      <c r="D26" s="16" t="s">
        <v>28</v>
      </c>
      <c r="E26" s="17">
        <v>190</v>
      </c>
      <c r="F26" s="17">
        <v>98</v>
      </c>
      <c r="G26" s="18" t="s">
        <v>33</v>
      </c>
      <c r="H26" s="18" t="s">
        <v>54</v>
      </c>
      <c r="I26" s="18" t="s">
        <v>34</v>
      </c>
      <c r="J26" s="13">
        <v>100</v>
      </c>
      <c r="K26" s="13">
        <v>10</v>
      </c>
      <c r="L26" s="19" t="s">
        <v>43</v>
      </c>
      <c r="M26" s="19" t="s">
        <v>46</v>
      </c>
      <c r="N26" s="19">
        <v>1000</v>
      </c>
      <c r="S26" s="14">
        <v>45636</v>
      </c>
      <c r="T26" s="14" t="s">
        <v>23</v>
      </c>
      <c r="U26" s="15">
        <v>2024</v>
      </c>
      <c r="W26" s="14">
        <v>45628</v>
      </c>
      <c r="X26" s="16" t="s">
        <v>29</v>
      </c>
      <c r="Y26" s="18" t="s">
        <v>36</v>
      </c>
      <c r="Z26" s="19" t="s">
        <v>43</v>
      </c>
      <c r="AA26" s="13">
        <v>50</v>
      </c>
      <c r="AB26" s="13">
        <v>100</v>
      </c>
    </row>
    <row r="27" spans="1:33" x14ac:dyDescent="0.25">
      <c r="A27" s="14">
        <v>45638</v>
      </c>
      <c r="B27" s="14" t="s">
        <v>23</v>
      </c>
      <c r="C27" s="15">
        <v>2024</v>
      </c>
      <c r="D27" s="16" t="s">
        <v>31</v>
      </c>
      <c r="E27" s="17">
        <v>171</v>
      </c>
      <c r="F27" s="17">
        <v>65</v>
      </c>
      <c r="G27" s="18" t="s">
        <v>33</v>
      </c>
      <c r="H27" s="18" t="s">
        <v>54</v>
      </c>
      <c r="I27" s="18" t="s">
        <v>35</v>
      </c>
      <c r="J27" s="13">
        <v>50</v>
      </c>
      <c r="K27" s="13">
        <v>60</v>
      </c>
      <c r="L27" s="19" t="s">
        <v>43</v>
      </c>
      <c r="M27" s="19" t="s">
        <v>46</v>
      </c>
      <c r="N27" s="19">
        <v>1000</v>
      </c>
      <c r="S27" s="14">
        <v>45637</v>
      </c>
      <c r="T27" s="14" t="s">
        <v>23</v>
      </c>
      <c r="U27" s="15">
        <v>2024</v>
      </c>
      <c r="W27" s="14">
        <v>45629</v>
      </c>
      <c r="X27" s="16" t="s">
        <v>30</v>
      </c>
      <c r="Y27" s="18" t="s">
        <v>34</v>
      </c>
      <c r="Z27" s="19" t="s">
        <v>45</v>
      </c>
      <c r="AA27" s="13">
        <v>20</v>
      </c>
      <c r="AB27" s="13">
        <v>20</v>
      </c>
    </row>
    <row r="28" spans="1:33" x14ac:dyDescent="0.25">
      <c r="S28" s="14">
        <v>45638</v>
      </c>
      <c r="T28" s="14" t="s">
        <v>23</v>
      </c>
      <c r="U28" s="15">
        <v>2024</v>
      </c>
      <c r="W28" s="14">
        <v>45630</v>
      </c>
      <c r="X28" s="16" t="s">
        <v>30</v>
      </c>
      <c r="Y28" s="18" t="s">
        <v>38</v>
      </c>
      <c r="Z28" s="19" t="s">
        <v>45</v>
      </c>
      <c r="AA28" s="13">
        <v>100</v>
      </c>
      <c r="AB28" s="13">
        <v>0</v>
      </c>
    </row>
    <row r="29" spans="1:33" x14ac:dyDescent="0.25">
      <c r="W29" s="14">
        <v>45631</v>
      </c>
      <c r="X29" s="16" t="s">
        <v>28</v>
      </c>
      <c r="Y29" s="18" t="s">
        <v>36</v>
      </c>
      <c r="Z29" s="19" t="s">
        <v>43</v>
      </c>
      <c r="AA29" s="13">
        <v>20</v>
      </c>
      <c r="AB29" s="13">
        <v>80</v>
      </c>
    </row>
    <row r="30" spans="1:33" x14ac:dyDescent="0.25">
      <c r="W30" s="14">
        <v>45632</v>
      </c>
      <c r="X30" s="16" t="s">
        <v>29</v>
      </c>
      <c r="Y30" s="18" t="s">
        <v>35</v>
      </c>
      <c r="Z30" s="19" t="s">
        <v>45</v>
      </c>
      <c r="AA30" s="13">
        <v>50</v>
      </c>
      <c r="AB30" s="13">
        <v>70</v>
      </c>
      <c r="AE30" t="s">
        <v>52</v>
      </c>
    </row>
    <row r="31" spans="1:33" x14ac:dyDescent="0.25">
      <c r="W31" s="14">
        <v>45633</v>
      </c>
      <c r="X31" s="16" t="s">
        <v>30</v>
      </c>
      <c r="Y31" s="18" t="s">
        <v>38</v>
      </c>
      <c r="Z31" s="19" t="s">
        <v>45</v>
      </c>
      <c r="AA31" s="13">
        <v>100</v>
      </c>
      <c r="AB31" s="13">
        <v>0</v>
      </c>
      <c r="AE31" s="10" t="s">
        <v>32</v>
      </c>
      <c r="AF31" s="10" t="s">
        <v>53</v>
      </c>
      <c r="AG31" s="10" t="s">
        <v>27</v>
      </c>
    </row>
    <row r="32" spans="1:33" x14ac:dyDescent="0.25">
      <c r="W32" s="14">
        <v>45634</v>
      </c>
      <c r="X32" s="16" t="s">
        <v>31</v>
      </c>
      <c r="Y32" s="18" t="s">
        <v>34</v>
      </c>
      <c r="Z32" s="19" t="s">
        <v>43</v>
      </c>
      <c r="AA32" s="13">
        <v>20</v>
      </c>
      <c r="AB32" s="13">
        <v>20</v>
      </c>
      <c r="AE32" s="18" t="s">
        <v>33</v>
      </c>
      <c r="AF32" s="18" t="s">
        <v>54</v>
      </c>
      <c r="AG32" s="18" t="s">
        <v>34</v>
      </c>
    </row>
    <row r="33" spans="23:33" x14ac:dyDescent="0.25">
      <c r="W33" s="14">
        <v>45635</v>
      </c>
      <c r="X33" s="16" t="s">
        <v>28</v>
      </c>
      <c r="Y33" s="18" t="s">
        <v>36</v>
      </c>
      <c r="Z33" s="19" t="s">
        <v>45</v>
      </c>
      <c r="AA33" s="13">
        <v>50</v>
      </c>
      <c r="AB33" s="13">
        <v>80</v>
      </c>
      <c r="AE33" s="18" t="s">
        <v>33</v>
      </c>
      <c r="AF33" s="18" t="s">
        <v>54</v>
      </c>
      <c r="AG33" s="18" t="s">
        <v>35</v>
      </c>
    </row>
    <row r="34" spans="23:33" x14ac:dyDescent="0.25">
      <c r="W34" s="14">
        <v>45636</v>
      </c>
      <c r="X34" s="16" t="s">
        <v>31</v>
      </c>
      <c r="Y34" s="18" t="s">
        <v>35</v>
      </c>
      <c r="Z34" s="19" t="s">
        <v>43</v>
      </c>
      <c r="AA34" s="13">
        <v>20</v>
      </c>
      <c r="AB34" s="13">
        <v>70</v>
      </c>
      <c r="AE34" s="18" t="s">
        <v>33</v>
      </c>
      <c r="AF34" s="18" t="s">
        <v>54</v>
      </c>
      <c r="AG34" s="18" t="s">
        <v>36</v>
      </c>
    </row>
    <row r="35" spans="23:33" x14ac:dyDescent="0.25">
      <c r="W35" s="14">
        <v>45637</v>
      </c>
      <c r="X35" s="16" t="s">
        <v>28</v>
      </c>
      <c r="Y35" s="18" t="s">
        <v>34</v>
      </c>
      <c r="Z35" s="19" t="s">
        <v>43</v>
      </c>
      <c r="AA35" s="13">
        <v>100</v>
      </c>
      <c r="AB35" s="13">
        <v>10</v>
      </c>
      <c r="AE35" s="18" t="s">
        <v>37</v>
      </c>
      <c r="AF35" s="18" t="s">
        <v>55</v>
      </c>
      <c r="AG35" s="18" t="s">
        <v>38</v>
      </c>
    </row>
    <row r="36" spans="23:33" x14ac:dyDescent="0.25">
      <c r="W36" s="14">
        <v>45638</v>
      </c>
      <c r="X36" s="16" t="s">
        <v>31</v>
      </c>
      <c r="Y36" s="18" t="s">
        <v>35</v>
      </c>
      <c r="Z36" s="19" t="s">
        <v>43</v>
      </c>
      <c r="AA36" s="13">
        <v>50</v>
      </c>
      <c r="AB36" s="13">
        <v>60</v>
      </c>
    </row>
    <row r="40" spans="23:33" x14ac:dyDescent="0.25">
      <c r="AE40" t="s">
        <v>56</v>
      </c>
    </row>
    <row r="50" spans="19:28" x14ac:dyDescent="0.25">
      <c r="AB50" t="s">
        <v>57</v>
      </c>
    </row>
    <row r="51" spans="19:28" x14ac:dyDescent="0.25">
      <c r="S51" s="10" t="s">
        <v>27</v>
      </c>
      <c r="T51" s="10" t="s">
        <v>32</v>
      </c>
      <c r="W51" s="10" t="s">
        <v>32</v>
      </c>
      <c r="X51" s="10" t="s">
        <v>53</v>
      </c>
    </row>
    <row r="52" spans="19:28" x14ac:dyDescent="0.25">
      <c r="S52" s="18" t="s">
        <v>34</v>
      </c>
      <c r="T52" s="18" t="s">
        <v>33</v>
      </c>
      <c r="W52" s="18" t="s">
        <v>33</v>
      </c>
      <c r="X52" s="18" t="s">
        <v>54</v>
      </c>
    </row>
    <row r="53" spans="19:28" x14ac:dyDescent="0.25">
      <c r="S53" s="18" t="s">
        <v>35</v>
      </c>
      <c r="T53" s="18" t="s">
        <v>33</v>
      </c>
      <c r="W53" s="18" t="s">
        <v>37</v>
      </c>
      <c r="X53" s="18" t="s">
        <v>55</v>
      </c>
    </row>
    <row r="54" spans="19:28" x14ac:dyDescent="0.25">
      <c r="S54" s="18" t="s">
        <v>36</v>
      </c>
      <c r="T54" s="18" t="s">
        <v>33</v>
      </c>
    </row>
    <row r="55" spans="19:28" x14ac:dyDescent="0.25">
      <c r="S55" s="18" t="s">
        <v>38</v>
      </c>
      <c r="T55" s="18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5300-4678-4242-940B-D5530A22332D}">
  <dimension ref="B2:I20"/>
  <sheetViews>
    <sheetView showGridLines="0" workbookViewId="0">
      <selection activeCell="E12" sqref="E12"/>
    </sheetView>
  </sheetViews>
  <sheetFormatPr defaultColWidth="11.42578125" defaultRowHeight="15" x14ac:dyDescent="0.25"/>
  <cols>
    <col min="1" max="1" width="2" bestFit="1" customWidth="1"/>
    <col min="2" max="2" width="30.7109375" customWidth="1"/>
    <col min="3" max="3" width="38.28515625" customWidth="1"/>
    <col min="4" max="4" width="15.7109375" customWidth="1"/>
    <col min="5" max="5" width="12.28515625" bestFit="1" customWidth="1"/>
  </cols>
  <sheetData>
    <row r="2" spans="2:9" x14ac:dyDescent="0.25">
      <c r="B2" s="2"/>
      <c r="C2" t="s">
        <v>11</v>
      </c>
      <c r="E2" s="6" t="s">
        <v>10</v>
      </c>
      <c r="F2" s="6" t="s">
        <v>9</v>
      </c>
      <c r="G2" s="7" t="s">
        <v>13</v>
      </c>
    </row>
    <row r="3" spans="2:9" x14ac:dyDescent="0.25">
      <c r="B3" s="3"/>
      <c r="C3" t="s">
        <v>12</v>
      </c>
      <c r="E3" s="4" t="s">
        <v>0</v>
      </c>
      <c r="F3" s="4" t="s">
        <v>1</v>
      </c>
      <c r="G3" s="4">
        <v>20</v>
      </c>
    </row>
    <row r="4" spans="2:9" x14ac:dyDescent="0.25">
      <c r="E4" s="4" t="s">
        <v>0</v>
      </c>
      <c r="F4" s="4" t="s">
        <v>2</v>
      </c>
      <c r="G4" s="4">
        <v>5</v>
      </c>
    </row>
    <row r="5" spans="2:9" x14ac:dyDescent="0.25">
      <c r="E5" s="4" t="s">
        <v>3</v>
      </c>
      <c r="F5" s="4" t="s">
        <v>4</v>
      </c>
      <c r="G5" s="4">
        <v>40</v>
      </c>
    </row>
    <row r="6" spans="2:9" x14ac:dyDescent="0.25">
      <c r="E6" s="4" t="s">
        <v>3</v>
      </c>
      <c r="F6" s="4" t="s">
        <v>5</v>
      </c>
      <c r="G6" s="4">
        <v>3</v>
      </c>
    </row>
    <row r="7" spans="2:9" x14ac:dyDescent="0.25">
      <c r="E7" s="4" t="s">
        <v>6</v>
      </c>
      <c r="F7" s="4" t="s">
        <v>7</v>
      </c>
      <c r="G7" s="4">
        <v>57</v>
      </c>
    </row>
    <row r="8" spans="2:9" x14ac:dyDescent="0.25">
      <c r="B8" s="5"/>
      <c r="C8" s="5"/>
      <c r="D8" s="5"/>
      <c r="E8" s="5"/>
      <c r="F8" s="5"/>
      <c r="G8" s="5"/>
      <c r="H8" s="5"/>
      <c r="I8" s="5"/>
    </row>
    <row r="9" spans="2:9" x14ac:dyDescent="0.25">
      <c r="B9" t="s">
        <v>8</v>
      </c>
    </row>
    <row r="11" spans="2:9" x14ac:dyDescent="0.25">
      <c r="B11" s="6" t="s">
        <v>10</v>
      </c>
      <c r="C11" s="6" t="s">
        <v>9</v>
      </c>
      <c r="D11" s="7" t="s">
        <v>13</v>
      </c>
      <c r="G11" s="6" t="s">
        <v>10</v>
      </c>
      <c r="H11" s="7" t="s">
        <v>13</v>
      </c>
    </row>
    <row r="12" spans="2:9" x14ac:dyDescent="0.25">
      <c r="B12" s="8" t="s">
        <v>0</v>
      </c>
      <c r="C12" s="8" t="s">
        <v>1</v>
      </c>
      <c r="D12" s="8">
        <v>20</v>
      </c>
      <c r="G12" s="4" t="s">
        <v>0</v>
      </c>
      <c r="H12" s="4">
        <v>25</v>
      </c>
    </row>
    <row r="13" spans="2:9" x14ac:dyDescent="0.25">
      <c r="B13" s="8" t="s">
        <v>0</v>
      </c>
      <c r="C13" s="8" t="s">
        <v>2</v>
      </c>
      <c r="D13" s="8">
        <v>5</v>
      </c>
      <c r="G13" s="4" t="s">
        <v>3</v>
      </c>
      <c r="H13" s="4">
        <v>43</v>
      </c>
    </row>
    <row r="14" spans="2:9" x14ac:dyDescent="0.25">
      <c r="B14" s="8" t="s">
        <v>3</v>
      </c>
      <c r="C14" s="8" t="s">
        <v>4</v>
      </c>
      <c r="D14" s="8">
        <v>40</v>
      </c>
      <c r="G14" s="4" t="s">
        <v>6</v>
      </c>
      <c r="H14" s="4">
        <v>57</v>
      </c>
    </row>
    <row r="15" spans="2:9" x14ac:dyDescent="0.25">
      <c r="B15" s="8" t="s">
        <v>3</v>
      </c>
      <c r="C15" s="8" t="s">
        <v>5</v>
      </c>
      <c r="D15" s="8">
        <v>3</v>
      </c>
    </row>
    <row r="16" spans="2:9" x14ac:dyDescent="0.25">
      <c r="B16" s="8" t="s">
        <v>6</v>
      </c>
      <c r="C16" s="8" t="s">
        <v>7</v>
      </c>
      <c r="D16" s="8">
        <v>57</v>
      </c>
    </row>
    <row r="17" spans="7:8" x14ac:dyDescent="0.25">
      <c r="G17" s="6" t="s">
        <v>10</v>
      </c>
      <c r="H17" s="7" t="s">
        <v>13</v>
      </c>
    </row>
    <row r="18" spans="7:8" x14ac:dyDescent="0.25">
      <c r="G18" s="4" t="s">
        <v>0</v>
      </c>
      <c r="H18" s="4">
        <v>20</v>
      </c>
    </row>
    <row r="19" spans="7:8" x14ac:dyDescent="0.25">
      <c r="G19" s="4" t="s">
        <v>3</v>
      </c>
      <c r="H19" s="4">
        <v>40</v>
      </c>
    </row>
    <row r="20" spans="7:8" x14ac:dyDescent="0.25">
      <c r="G20" s="4" t="s">
        <v>6</v>
      </c>
      <c r="H20" s="4">
        <v>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E2DD-6961-46A7-944D-58FC955F54C1}">
  <dimension ref="E2:E4"/>
  <sheetViews>
    <sheetView zoomScale="120" zoomScaleNormal="120" workbookViewId="0">
      <selection activeCell="F2" sqref="F2"/>
    </sheetView>
  </sheetViews>
  <sheetFormatPr defaultColWidth="11.42578125" defaultRowHeight="15" x14ac:dyDescent="0.25"/>
  <cols>
    <col min="1" max="1" width="4.140625" customWidth="1"/>
    <col min="2" max="2" width="30.85546875" customWidth="1"/>
    <col min="3" max="3" width="60.140625" customWidth="1"/>
    <col min="4" max="4" width="54.5703125" customWidth="1"/>
  </cols>
  <sheetData>
    <row r="2" spans="5:5" x14ac:dyDescent="0.25">
      <c r="E2" t="s">
        <v>14</v>
      </c>
    </row>
    <row r="4" spans="5:5" x14ac:dyDescent="0.25">
      <c r="E4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FEEB-8FE1-49C3-A69D-92122AD5DFDA}">
  <dimension ref="L2:L4"/>
  <sheetViews>
    <sheetView zoomScale="120" zoomScaleNormal="120" workbookViewId="0">
      <selection activeCell="L5" sqref="L5"/>
    </sheetView>
  </sheetViews>
  <sheetFormatPr defaultColWidth="11.42578125" defaultRowHeight="15" x14ac:dyDescent="0.25"/>
  <sheetData>
    <row r="2" spans="12:12" x14ac:dyDescent="0.25">
      <c r="L2" s="12" t="str">
        <f>"1:1"</f>
        <v>1:1</v>
      </c>
    </row>
    <row r="3" spans="12:12" x14ac:dyDescent="0.25">
      <c r="L3" s="12" t="str">
        <f>"1:N"</f>
        <v>1:N</v>
      </c>
    </row>
    <row r="4" spans="12:12" x14ac:dyDescent="0.25">
      <c r="L4" s="12" t="str">
        <f>"N:M"</f>
        <v>N:M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8EB1-5C04-4642-9947-1DFE106FFDEB}">
  <dimension ref="A1:L15"/>
  <sheetViews>
    <sheetView zoomScale="120" zoomScaleNormal="120" workbookViewId="0">
      <selection activeCell="J17" sqref="J17"/>
    </sheetView>
  </sheetViews>
  <sheetFormatPr defaultColWidth="11.42578125" defaultRowHeight="15" x14ac:dyDescent="0.25"/>
  <cols>
    <col min="1" max="1" width="4.140625" customWidth="1"/>
    <col min="2" max="2" width="5" customWidth="1"/>
    <col min="3" max="3" width="24.7109375" customWidth="1"/>
    <col min="4" max="4" width="16.85546875" customWidth="1"/>
  </cols>
  <sheetData>
    <row r="1" spans="1:12" x14ac:dyDescent="0.25">
      <c r="A1" s="1"/>
      <c r="B1" s="9" t="s">
        <v>16</v>
      </c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 x14ac:dyDescent="0.25">
      <c r="C4" s="6" t="s">
        <v>10</v>
      </c>
      <c r="D4" s="6" t="s">
        <v>9</v>
      </c>
      <c r="E4" s="7" t="s">
        <v>13</v>
      </c>
      <c r="G4" s="6" t="s">
        <v>10</v>
      </c>
      <c r="H4" s="7" t="s">
        <v>13</v>
      </c>
    </row>
    <row r="5" spans="1:12" x14ac:dyDescent="0.25">
      <c r="C5" s="4" t="s">
        <v>0</v>
      </c>
      <c r="D5" s="4" t="s">
        <v>1</v>
      </c>
      <c r="E5" s="4">
        <v>20</v>
      </c>
      <c r="G5" s="4" t="s">
        <v>0</v>
      </c>
      <c r="H5" s="4">
        <v>25</v>
      </c>
    </row>
    <row r="6" spans="1:12" x14ac:dyDescent="0.25">
      <c r="C6" s="4" t="s">
        <v>0</v>
      </c>
      <c r="D6" s="4" t="s">
        <v>2</v>
      </c>
      <c r="E6" s="4">
        <v>5</v>
      </c>
      <c r="G6" s="4" t="s">
        <v>3</v>
      </c>
      <c r="H6" s="4">
        <v>43</v>
      </c>
    </row>
    <row r="7" spans="1:12" x14ac:dyDescent="0.25">
      <c r="C7" s="4" t="s">
        <v>3</v>
      </c>
      <c r="D7" s="4" t="s">
        <v>4</v>
      </c>
      <c r="E7" s="4">
        <v>40</v>
      </c>
      <c r="G7" s="4" t="s">
        <v>6</v>
      </c>
      <c r="H7" s="4">
        <v>57</v>
      </c>
    </row>
    <row r="8" spans="1:12" x14ac:dyDescent="0.25">
      <c r="C8" s="4" t="s">
        <v>3</v>
      </c>
      <c r="D8" s="4" t="s">
        <v>5</v>
      </c>
      <c r="E8" s="4">
        <v>3</v>
      </c>
    </row>
    <row r="9" spans="1:12" x14ac:dyDescent="0.25">
      <c r="C9" s="4" t="s">
        <v>6</v>
      </c>
      <c r="D9" s="4" t="s">
        <v>7</v>
      </c>
      <c r="E9" s="4">
        <v>57</v>
      </c>
    </row>
    <row r="10" spans="1:12" x14ac:dyDescent="0.25">
      <c r="G10" s="6" t="s">
        <v>10</v>
      </c>
      <c r="H10" s="7" t="s">
        <v>13</v>
      </c>
    </row>
    <row r="11" spans="1:12" x14ac:dyDescent="0.25">
      <c r="C11" t="s">
        <v>17</v>
      </c>
      <c r="G11" s="4" t="s">
        <v>0</v>
      </c>
      <c r="H11" s="4">
        <v>20</v>
      </c>
    </row>
    <row r="12" spans="1:12" x14ac:dyDescent="0.25">
      <c r="G12" s="4" t="s">
        <v>3</v>
      </c>
      <c r="H12" s="4">
        <v>40</v>
      </c>
    </row>
    <row r="13" spans="1:12" x14ac:dyDescent="0.25">
      <c r="G13" s="4" t="s">
        <v>6</v>
      </c>
      <c r="H13" s="4">
        <v>57</v>
      </c>
    </row>
    <row r="15" spans="1:12" x14ac:dyDescent="0.25">
      <c r="G15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B1D1-46E6-44EA-8227-82B868C59895}">
  <dimension ref="A1"/>
  <sheetViews>
    <sheetView showGridLines="0" topLeftCell="A52" workbookViewId="0">
      <selection activeCell="K70" sqref="H64:K70"/>
    </sheetView>
  </sheetViews>
  <sheetFormatPr defaultColWidth="11.42578125" defaultRowHeight="15" x14ac:dyDescent="0.25"/>
  <cols>
    <col min="1" max="1" width="2" bestFit="1" customWidth="1"/>
    <col min="2" max="2" width="30.7109375" customWidth="1"/>
    <col min="3" max="3" width="38.28515625" customWidth="1"/>
    <col min="4" max="4" width="15.7109375" customWidth="1"/>
    <col min="5" max="5" width="12.285156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6</vt:i4>
      </vt:variant>
    </vt:vector>
  </HeadingPairs>
  <TitlesOfParts>
    <vt:vector size="6" baseType="lpstr">
      <vt:lpstr>ExempleInicial</vt:lpstr>
      <vt:lpstr>Dim_Met</vt:lpstr>
      <vt:lpstr>ModelEstrella_PKFK</vt:lpstr>
      <vt:lpstr>Relacions</vt:lpstr>
      <vt:lpstr>Granularitat dades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Xavier Gonzalez Navarro</cp:lastModifiedBy>
  <dcterms:created xsi:type="dcterms:W3CDTF">2015-06-05T18:19:34Z</dcterms:created>
  <dcterms:modified xsi:type="dcterms:W3CDTF">2024-11-17T15:49:42Z</dcterms:modified>
</cp:coreProperties>
</file>